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jayPerepa\Desktop\AI for Finance\"/>
    </mc:Choice>
  </mc:AlternateContent>
  <xr:revisionPtr revIDLastSave="0" documentId="13_ncr:1_{24BD63B5-0B0E-46B9-93F1-3990E70709E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ummary" sheetId="6" r:id="rId1"/>
    <sheet name="Variance Analysis" sheetId="7" r:id="rId2"/>
    <sheet name="Chennai" sheetId="1" r:id="rId3"/>
    <sheet name="Mumbai" sheetId="2" r:id="rId4"/>
    <sheet name="Pune" sheetId="3" r:id="rId5"/>
    <sheet name="Hyderabad" sheetId="4" r:id="rId6"/>
    <sheet name="Bangalore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" i="7" l="1"/>
  <c r="C106" i="7"/>
  <c r="B106" i="7"/>
  <c r="D105" i="7"/>
  <c r="C105" i="7"/>
  <c r="B105" i="7"/>
  <c r="D104" i="7"/>
  <c r="C104" i="7"/>
  <c r="B104" i="7"/>
  <c r="D103" i="7"/>
  <c r="C103" i="7"/>
  <c r="B103" i="7"/>
  <c r="D102" i="7"/>
  <c r="C102" i="7"/>
  <c r="B102" i="7"/>
  <c r="D101" i="7"/>
  <c r="C101" i="7"/>
  <c r="B101" i="7"/>
  <c r="D95" i="7"/>
  <c r="C95" i="7"/>
  <c r="D94" i="7"/>
  <c r="C94" i="7"/>
  <c r="D93" i="7"/>
  <c r="C93" i="7"/>
  <c r="D92" i="7"/>
  <c r="C92" i="7"/>
  <c r="D91" i="7"/>
  <c r="C91" i="7"/>
  <c r="G90" i="7"/>
  <c r="D90" i="7"/>
  <c r="C90" i="7"/>
  <c r="B90" i="7"/>
  <c r="D89" i="7"/>
  <c r="C89" i="7"/>
  <c r="B89" i="7"/>
  <c r="G89" i="7"/>
  <c r="G96" i="7"/>
  <c r="E96" i="7"/>
  <c r="H95" i="7"/>
  <c r="H94" i="7"/>
  <c r="H93" i="7"/>
  <c r="H92" i="7"/>
  <c r="H91" i="7"/>
  <c r="H90" i="7"/>
  <c r="H89" i="7"/>
  <c r="G88" i="7"/>
  <c r="E88" i="7"/>
  <c r="B64" i="7"/>
  <c r="B63" i="7"/>
  <c r="B62" i="7"/>
  <c r="B61" i="7"/>
  <c r="B60" i="7"/>
  <c r="D55" i="7"/>
  <c r="C55" i="7"/>
  <c r="B55" i="7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7" i="7"/>
  <c r="C47" i="7"/>
  <c r="B47" i="7"/>
  <c r="D46" i="7"/>
  <c r="C46" i="7"/>
  <c r="B46" i="7"/>
  <c r="D45" i="7"/>
  <c r="C45" i="7"/>
  <c r="B45" i="7"/>
  <c r="D44" i="7"/>
  <c r="C44" i="7"/>
  <c r="B44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C19" i="7"/>
  <c r="D19" i="7" s="1"/>
  <c r="B19" i="7"/>
  <c r="C18" i="7"/>
  <c r="D18" i="7" s="1"/>
  <c r="B18" i="7"/>
  <c r="C17" i="7"/>
  <c r="D17" i="7" s="1"/>
  <c r="B17" i="7"/>
  <c r="C16" i="7"/>
  <c r="D16" i="7" s="1"/>
  <c r="B16" i="7"/>
  <c r="C15" i="7"/>
  <c r="D15" i="7" s="1"/>
  <c r="B15" i="7"/>
  <c r="C14" i="7"/>
  <c r="D14" i="7" s="1"/>
  <c r="B14" i="7"/>
  <c r="C13" i="7"/>
  <c r="D13" i="7" s="1"/>
  <c r="B13" i="7"/>
  <c r="C12" i="7"/>
  <c r="D12" i="7" s="1"/>
  <c r="B12" i="7"/>
  <c r="C11" i="7"/>
  <c r="D11" i="7" s="1"/>
  <c r="B11" i="7"/>
  <c r="C10" i="7"/>
  <c r="D10" i="7" s="1"/>
  <c r="B10" i="7"/>
  <c r="C9" i="7"/>
  <c r="D9" i="7" s="1"/>
  <c r="B9" i="7"/>
  <c r="C8" i="7"/>
  <c r="D8" i="7" s="1"/>
  <c r="B8" i="7"/>
  <c r="C7" i="7"/>
  <c r="D7" i="7" s="1"/>
  <c r="B7" i="7"/>
  <c r="G6" i="7"/>
  <c r="D6" i="7"/>
  <c r="E6" i="7" s="1"/>
  <c r="C6" i="7"/>
  <c r="B6" i="7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AA2" i="6"/>
  <c r="AA4" i="6" s="1"/>
  <c r="AA10" i="6" s="1"/>
  <c r="AA13" i="6" s="1"/>
  <c r="AA15" i="6" s="1"/>
  <c r="Z2" i="6"/>
  <c r="Z4" i="6" s="1"/>
  <c r="Z10" i="6" s="1"/>
  <c r="Z13" i="6" s="1"/>
  <c r="Z15" i="6" s="1"/>
  <c r="Y2" i="6"/>
  <c r="Y4" i="6" s="1"/>
  <c r="Y10" i="6" s="1"/>
  <c r="Y13" i="6" s="1"/>
  <c r="Y15" i="6" s="1"/>
  <c r="X2" i="6"/>
  <c r="X4" i="6" s="1"/>
  <c r="X10" i="6" s="1"/>
  <c r="X13" i="6" s="1"/>
  <c r="X15" i="6" s="1"/>
  <c r="W2" i="6"/>
  <c r="W4" i="6" s="1"/>
  <c r="W10" i="6" s="1"/>
  <c r="W13" i="6" s="1"/>
  <c r="W15" i="6" s="1"/>
  <c r="V2" i="6"/>
  <c r="V4" i="6" s="1"/>
  <c r="V10" i="6" s="1"/>
  <c r="V13" i="6" s="1"/>
  <c r="V15" i="6" s="1"/>
  <c r="U2" i="6"/>
  <c r="U4" i="6" s="1"/>
  <c r="U10" i="6" s="1"/>
  <c r="U13" i="6" s="1"/>
  <c r="U15" i="6" s="1"/>
  <c r="T2" i="6"/>
  <c r="T4" i="6" s="1"/>
  <c r="T10" i="6" s="1"/>
  <c r="T13" i="6" s="1"/>
  <c r="T15" i="6" s="1"/>
  <c r="S2" i="6"/>
  <c r="S4" i="6" s="1"/>
  <c r="S10" i="6" s="1"/>
  <c r="S13" i="6" s="1"/>
  <c r="S15" i="6" s="1"/>
  <c r="R2" i="6"/>
  <c r="R4" i="6" s="1"/>
  <c r="R10" i="6" s="1"/>
  <c r="R13" i="6" s="1"/>
  <c r="R15" i="6" s="1"/>
  <c r="Q2" i="6"/>
  <c r="Q4" i="6" s="1"/>
  <c r="Q10" i="6" s="1"/>
  <c r="Q13" i="6" s="1"/>
  <c r="Q15" i="6" s="1"/>
  <c r="P2" i="6"/>
  <c r="P4" i="6" s="1"/>
  <c r="P10" i="6" s="1"/>
  <c r="P13" i="6" s="1"/>
  <c r="P15" i="6" s="1"/>
  <c r="O2" i="6"/>
  <c r="O4" i="6" s="1"/>
  <c r="O10" i="6" s="1"/>
  <c r="O13" i="6" s="1"/>
  <c r="O15" i="6" s="1"/>
  <c r="N2" i="6"/>
  <c r="N4" i="6" s="1"/>
  <c r="N10" i="6" s="1"/>
  <c r="N13" i="6" s="1"/>
  <c r="N15" i="6" s="1"/>
  <c r="M2" i="6"/>
  <c r="M4" i="6" s="1"/>
  <c r="M10" i="6" s="1"/>
  <c r="M13" i="6" s="1"/>
  <c r="M15" i="6" s="1"/>
  <c r="L2" i="6"/>
  <c r="L4" i="6" s="1"/>
  <c r="L10" i="6" s="1"/>
  <c r="L13" i="6" s="1"/>
  <c r="L15" i="6" s="1"/>
  <c r="K2" i="6"/>
  <c r="K4" i="6" s="1"/>
  <c r="K10" i="6" s="1"/>
  <c r="K13" i="6" s="1"/>
  <c r="K15" i="6" s="1"/>
  <c r="J2" i="6"/>
  <c r="J4" i="6" s="1"/>
  <c r="J10" i="6" s="1"/>
  <c r="J13" i="6" s="1"/>
  <c r="J15" i="6" s="1"/>
  <c r="I2" i="6"/>
  <c r="I4" i="6" s="1"/>
  <c r="I10" i="6" s="1"/>
  <c r="I13" i="6" s="1"/>
  <c r="I15" i="6" s="1"/>
  <c r="H2" i="6"/>
  <c r="H4" i="6" s="1"/>
  <c r="H10" i="6" s="1"/>
  <c r="H13" i="6" s="1"/>
  <c r="H15" i="6" s="1"/>
  <c r="G2" i="6"/>
  <c r="G4" i="6" s="1"/>
  <c r="G10" i="6" s="1"/>
  <c r="G13" i="6" s="1"/>
  <c r="G15" i="6" s="1"/>
  <c r="F2" i="6"/>
  <c r="F4" i="6" s="1"/>
  <c r="F10" i="6" s="1"/>
  <c r="F13" i="6" s="1"/>
  <c r="F15" i="6" s="1"/>
  <c r="E2" i="6"/>
  <c r="E4" i="6" s="1"/>
  <c r="E10" i="6" s="1"/>
  <c r="E13" i="6" s="1"/>
  <c r="E15" i="6" s="1"/>
  <c r="D2" i="6"/>
  <c r="D4" i="6" s="1"/>
  <c r="D10" i="6" s="1"/>
  <c r="D13" i="6" s="1"/>
  <c r="D15" i="6" s="1"/>
  <c r="C2" i="6"/>
  <c r="C4" i="6" s="1"/>
  <c r="C10" i="6" s="1"/>
  <c r="C13" i="6" s="1"/>
  <c r="C15" i="6" s="1"/>
  <c r="B14" i="6"/>
  <c r="B12" i="6"/>
  <c r="B11" i="6"/>
  <c r="B9" i="6"/>
  <c r="B8" i="6"/>
  <c r="B7" i="6"/>
  <c r="B6" i="6"/>
  <c r="B5" i="6"/>
  <c r="B4" i="6"/>
  <c r="B10" i="6" s="1"/>
  <c r="B13" i="6" s="1"/>
  <c r="B15" i="6" s="1"/>
  <c r="B3" i="6"/>
  <c r="B2" i="6"/>
  <c r="B91" i="7" l="1"/>
  <c r="G91" i="7"/>
  <c r="E19" i="7"/>
  <c r="G19" i="7"/>
  <c r="E18" i="7"/>
  <c r="G18" i="7"/>
  <c r="E17" i="7"/>
  <c r="G17" i="7"/>
  <c r="E16" i="7"/>
  <c r="G16" i="7"/>
  <c r="E15" i="7"/>
  <c r="G15" i="7"/>
  <c r="E14" i="7"/>
  <c r="G14" i="7"/>
  <c r="E13" i="7"/>
  <c r="G13" i="7"/>
  <c r="E12" i="7"/>
  <c r="G12" i="7"/>
  <c r="E11" i="7"/>
  <c r="G11" i="7"/>
  <c r="E10" i="7"/>
  <c r="G10" i="7"/>
  <c r="G9" i="7"/>
  <c r="E9" i="7"/>
  <c r="E8" i="7"/>
  <c r="G8" i="7"/>
  <c r="E7" i="7"/>
  <c r="G7" i="7"/>
  <c r="G92" i="7" l="1"/>
  <c r="B92" i="7" s="1"/>
  <c r="G93" i="7" l="1"/>
  <c r="B93" i="7"/>
  <c r="G94" i="7" l="1"/>
  <c r="B94" i="7" s="1"/>
  <c r="B95" i="7" l="1"/>
  <c r="G95" i="7"/>
</calcChain>
</file>

<file path=xl/sharedStrings.xml><?xml version="1.0" encoding="utf-8"?>
<sst xmlns="http://schemas.openxmlformats.org/spreadsheetml/2006/main" count="384" uniqueCount="116">
  <si>
    <t>Particulars</t>
  </si>
  <si>
    <t>Jan Budget</t>
  </si>
  <si>
    <t>Jan Actual</t>
  </si>
  <si>
    <t>Feb Budget</t>
  </si>
  <si>
    <t>Feb Actual</t>
  </si>
  <si>
    <t>Mar Budget</t>
  </si>
  <si>
    <t>Mar Actual</t>
  </si>
  <si>
    <t>Apr Budget</t>
  </si>
  <si>
    <t>Apr Actual</t>
  </si>
  <si>
    <t>May Budget</t>
  </si>
  <si>
    <t>May Actual</t>
  </si>
  <si>
    <t>Jun Budget</t>
  </si>
  <si>
    <t>Jun Actual</t>
  </si>
  <si>
    <t>Jul Budget</t>
  </si>
  <si>
    <t>Jul Actual</t>
  </si>
  <si>
    <t>Aug Budget</t>
  </si>
  <si>
    <t>Aug Actual</t>
  </si>
  <si>
    <t>Sep Budget</t>
  </si>
  <si>
    <t>Sep Actual</t>
  </si>
  <si>
    <t>Oct Budget</t>
  </si>
  <si>
    <t>Oct Actual</t>
  </si>
  <si>
    <t>Nov Budget</t>
  </si>
  <si>
    <t>Nov Actual</t>
  </si>
  <si>
    <t>Dec Budget</t>
  </si>
  <si>
    <t>Dec Actual</t>
  </si>
  <si>
    <t>Annual Budget</t>
  </si>
  <si>
    <t>Annual Actual</t>
  </si>
  <si>
    <t>Revenue</t>
  </si>
  <si>
    <t>COGS</t>
  </si>
  <si>
    <t>Gross Profit</t>
  </si>
  <si>
    <t>Salaries</t>
  </si>
  <si>
    <t>Rent</t>
  </si>
  <si>
    <t>Utilities</t>
  </si>
  <si>
    <t>Marketing</t>
  </si>
  <si>
    <t>Other Opex</t>
  </si>
  <si>
    <t>EBITDA</t>
  </si>
  <si>
    <t>Depreciation</t>
  </si>
  <si>
    <t>Interest</t>
  </si>
  <si>
    <t>Profit Before Tax</t>
  </si>
  <si>
    <t>Tax</t>
  </si>
  <si>
    <t>Net Profit</t>
  </si>
  <si>
    <t>Generating floowking using AI</t>
  </si>
  <si>
    <t>Consolidated sheet</t>
  </si>
  <si>
    <t>Budget vs Actual variance sheet</t>
  </si>
  <si>
    <t>Variance % analysis</t>
  </si>
  <si>
    <t>YTD calculations</t>
  </si>
  <si>
    <t>Branch ranking</t>
  </si>
  <si>
    <t>Cash Flow statement</t>
  </si>
  <si>
    <t>Balance Sheet</t>
  </si>
  <si>
    <t>Retail Group — Budget vs Actual Variance Analysis (FY)</t>
  </si>
  <si>
    <t>Prepared for: Group CFO  |  Prepared by: Financial Analyst  |  All figures in ₹</t>
  </si>
  <si>
    <t>1. Consolidated P&amp;L — Budget vs Actual</t>
  </si>
  <si>
    <t>Variance (₹)</t>
  </si>
  <si>
    <t>Variance %</t>
  </si>
  <si>
    <t>Nature</t>
  </si>
  <si>
    <t>Status</t>
  </si>
  <si>
    <t>Income</t>
  </si>
  <si>
    <t>Cost</t>
  </si>
  <si>
    <t>2. Net Profit by Branch — Budget vs Actual</t>
  </si>
  <si>
    <t>Branch</t>
  </si>
  <si>
    <t>Budget NP</t>
  </si>
  <si>
    <t>Actual NP</t>
  </si>
  <si>
    <t>Chennai</t>
  </si>
  <si>
    <t>Mumbai</t>
  </si>
  <si>
    <t>Pune</t>
  </si>
  <si>
    <t>Hyderabad</t>
  </si>
  <si>
    <t>Bangalore</t>
  </si>
  <si>
    <t>Group Total</t>
  </si>
  <si>
    <t>3. Revenue by Branch — Budget vs Actual</t>
  </si>
  <si>
    <t>Budget Rev</t>
  </si>
  <si>
    <t>Actual Rev</t>
  </si>
  <si>
    <t>4. Monthly Group Net Profit — Budget vs Actual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</si>
  <si>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</si>
  <si>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</si>
  <si>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</si>
  <si>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</si>
  <si>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</si>
  <si>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</si>
  <si>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</si>
  <si>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</si>
  <si>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</si>
  <si>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</si>
  <si>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</si>
  <si>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</si>
  <si>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</si>
  <si>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5. Where the Profit Gap Came From — Cost Line Overruns (Actual vs Budget)</t>
  </si>
  <si>
    <t>Cost Line</t>
  </si>
  <si>
    <t>Overrun (₹)</t>
  </si>
  <si>
    <t>6. CFO Commentary &amp; Recommendations</t>
  </si>
  <si>
    <t>Headline</t>
  </si>
  <si>
    <t>Group Net Profit closed the year at ₹81.7 cr against a budget of ₹88.4 cr — a shortfall of ₹6.6 cr (-7.5%). Critically, this is not a revenue problem: actual revenue of ₹831.3 cr came in within 0.03% of the ₹831.6 cr budget. The entire profit miss was driven by margin erosion and cost overruns below the revenue line.</t>
  </si>
  <si>
    <t>What drove the variance</t>
  </si>
  <si>
    <t>• COGS overran budget by ₹4.0 cr, the single largest driver. Gross margin compressed as cost of goods rose faster than sales, pulling Gross Profit ₹4.3 cr below plan.</t>
  </si>
  <si>
    <t>• Operating costs added to the gap: Salaries +₹2.0 cr, Marketing +₹1.7 cr, Other Opex +₹0.6 cr, Utilities +₹0.3 cr. Notably, the higher marketing spend did not translate into incremental revenue.</t>
  </si>
  <si>
    <t>• Combined, these pushed EBITDA to ₹130.0 cr versus ₹138.8 cr budget (-6.4%), which flowed straight through to the bottom line (Depreciation and Interest were on plan).</t>
  </si>
  <si>
    <t>• The miss is broad-based across branches (-6.9% to -8.7% on Net Profit), indicating a systemic cost-control issue rather than a single under-performing location. Pune (-8.7%) and Hyderabad (-8.0%) lagged most; Mumbai (-6.9%) held up best.</t>
  </si>
  <si>
    <t>• By month, shortfalls concentrated in Mar (-19%), Aug (-18%), Dec (-18%) and May (-13%) — peak/festival periods where COGS and marketing spiked. Apr, Sep and Nov modestly beat budget.</t>
  </si>
  <si>
    <t>Recommendations</t>
  </si>
  <si>
    <t>1. Recover gross margin: launch a procurement / vendor-pricing review and tighten discounting and shrinkage controls. COGS is where most of the ₹6.6 cr is recoverable.</t>
  </si>
  <si>
    <t>2. Make marketing accountable: institute ROI tracking so spend is tied to measurable revenue lift; freeze incremental spend that is not converting.</t>
  </si>
  <si>
    <t>3. Control peak-month costs: build tighter cost guardrails for Mar/Aug/Dec, where the bulk of the variance arises.</t>
  </si>
  <si>
    <t>4. Review the salary overrun: confirm whether driven by overtime/temp staffing and align headcount cost to the revenue plan.</t>
  </si>
  <si>
    <t>5. Roll out a standard branch cost-variance scorecard monthly so overruns are caught and corrected in-period rather than at year-end.</t>
  </si>
  <si>
    <t>7. Net Profit Bridge: Budget → Actual</t>
  </si>
  <si>
    <t>Step</t>
  </si>
  <si>
    <t>Base</t>
  </si>
  <si>
    <t>Decrease</t>
  </si>
  <si>
    <t>Increase</t>
  </si>
  <si>
    <t>Total</t>
  </si>
  <si>
    <t>Cumulative</t>
  </si>
  <si>
    <t>Impact</t>
  </si>
  <si>
    <t>8. EBITDA Margin % by Branch — Budget vs Actual</t>
  </si>
  <si>
    <t>Budget Margin</t>
  </si>
  <si>
    <t>Actual Margin</t>
  </si>
  <si>
    <t>Change (pts)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</si>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</sst>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\₹#,##0;\(\₹#,##0\);\-"/>
    <numFmt numFmtId="169" formatCode="0.0%;\(0.0%\)"/>
    <numFmt numFmtId="170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1F3864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68" fontId="0" fillId="0" borderId="0" xfId="0" applyNumberFormat="1"/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168" fontId="3" fillId="3" borderId="0" xfId="0" applyNumberFormat="1" applyFont="1" applyFill="1"/>
    <xf numFmtId="0" fontId="3" fillId="4" borderId="0" xfId="0" applyFont="1" applyFill="1"/>
    <xf numFmtId="168" fontId="3" fillId="4" borderId="0" xfId="0" applyNumberFormat="1" applyFont="1" applyFill="1"/>
    <xf numFmtId="0" fontId="3" fillId="5" borderId="0" xfId="0" applyFont="1" applyFill="1"/>
    <xf numFmtId="168" fontId="3" fillId="5" borderId="0" xfId="0" applyNumberFormat="1" applyFont="1" applyFill="1"/>
    <xf numFmtId="0" fontId="3" fillId="6" borderId="0" xfId="0" applyFont="1" applyFill="1"/>
    <xf numFmtId="168" fontId="3" fillId="6" borderId="0" xfId="0" applyNumberFormat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/>
    </xf>
    <xf numFmtId="169" fontId="0" fillId="0" borderId="0" xfId="0" applyNumberFormat="1"/>
    <xf numFmtId="168" fontId="3" fillId="0" borderId="0" xfId="0" applyNumberFormat="1" applyFont="1"/>
    <xf numFmtId="169" fontId="3" fillId="3" borderId="0" xfId="0" applyNumberFormat="1" applyFont="1" applyFill="1"/>
    <xf numFmtId="169" fontId="3" fillId="4" borderId="0" xfId="0" applyNumberFormat="1" applyFont="1" applyFill="1"/>
    <xf numFmtId="169" fontId="3" fillId="5" borderId="0" xfId="0" applyNumberFormat="1" applyFont="1" applyFill="1"/>
    <xf numFmtId="169" fontId="3" fillId="6" borderId="0" xfId="0" applyNumberFormat="1" applyFont="1" applyFill="1"/>
    <xf numFmtId="0" fontId="7" fillId="0" borderId="0" xfId="0" applyFont="1"/>
    <xf numFmtId="0" fontId="8" fillId="0" borderId="0" xfId="0" applyFont="1"/>
    <xf numFmtId="0" fontId="0" fillId="0" borderId="0" xfId="0" applyAlignment="1">
      <alignment vertical="top" wrapText="1"/>
    </xf>
    <xf numFmtId="170" fontId="0" fillId="0" borderId="0" xfId="0" applyNumberFormat="1"/>
    <xf numFmtId="170" fontId="3" fillId="3" borderId="0" xfId="0" applyNumberFormat="1" applyFont="1" applyFill="1"/>
  </cellXfs>
  <cellStyles count="1">
    <cellStyle name="Normal" xfId="0" builtinId="0"/>
  </cellStyles>
  <dxfs count="1">
    <dxf>
      <font>
        <b/>
        <i val="0"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by Branch: 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Analysis'!$B$23</c:f>
              <c:strCache>
                <c:ptCount val="1"/>
                <c:pt idx="0">
                  <c:v>Budget NP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'Variance Analysis'!$A$24:$A$28</c:f>
              <c:strCache>
                <c:ptCount val="5"/>
                <c:pt idx="0">
                  <c:v>Chennai</c:v>
                </c:pt>
                <c:pt idx="1">
                  <c:v>Mumbai</c:v>
                </c:pt>
                <c:pt idx="2">
                  <c:v>Pune</c:v>
                </c:pt>
                <c:pt idx="3">
                  <c:v>Hyderabad</c:v>
                </c:pt>
                <c:pt idx="4">
                  <c:v>Bangalore</c:v>
                </c:pt>
              </c:strCache>
            </c:strRef>
          </c:cat>
          <c:val>
            <c:numRef>
              <c:f>'Variance Analysis'!$B$24:$B$28</c:f>
              <c:numCache>
                <c:formatCode>\₹#,##0;\(\₹#,##0\);\-</c:formatCode>
                <c:ptCount val="5"/>
                <c:pt idx="0">
                  <c:v>17471251</c:v>
                </c:pt>
                <c:pt idx="1">
                  <c:v>23500349</c:v>
                </c:pt>
                <c:pt idx="2">
                  <c:v>11442149</c:v>
                </c:pt>
                <c:pt idx="3">
                  <c:v>14456699</c:v>
                </c:pt>
                <c:pt idx="4">
                  <c:v>21490651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9-4E5B-9287-86C078DB00CB}"/>
            </c:ext>
          </c:extLst>
        </c:ser>
        <c:ser>
          <c:idx val="1"/>
          <c:order val="1"/>
          <c:tx>
            <c:strRef>
              <c:f>'Variance Analysis'!$C$23</c:f>
              <c:strCache>
                <c:ptCount val="1"/>
                <c:pt idx="0">
                  <c:v>Actual NP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'Variance Analysis'!$A$24:$A$28</c:f>
              <c:strCache>
                <c:ptCount val="5"/>
                <c:pt idx="0">
                  <c:v>Chennai</c:v>
                </c:pt>
                <c:pt idx="1">
                  <c:v>Mumbai</c:v>
                </c:pt>
                <c:pt idx="2">
                  <c:v>Pune</c:v>
                </c:pt>
                <c:pt idx="3">
                  <c:v>Hyderabad</c:v>
                </c:pt>
                <c:pt idx="4">
                  <c:v>Bangalore</c:v>
                </c:pt>
              </c:strCache>
            </c:strRef>
          </c:cat>
          <c:val>
            <c:numRef>
              <c:f>'Variance Analysis'!$C$24:$C$28</c:f>
              <c:numCache>
                <c:formatCode>\₹#,##0;\(\₹#,##0\);\-</c:formatCode>
                <c:ptCount val="5"/>
                <c:pt idx="0">
                  <c:v>16155086</c:v>
                </c:pt>
                <c:pt idx="1">
                  <c:v>21868305</c:v>
                </c:pt>
                <c:pt idx="2">
                  <c:v>10441862</c:v>
                </c:pt>
                <c:pt idx="3">
                  <c:v>13298470</c:v>
                </c:pt>
                <c:pt idx="4">
                  <c:v>19963900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9-4E5B-9287-86C078DB0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583216"/>
        <c:axId val="727259152"/>
      </c:barChart>
      <c:catAx>
        <c:axId val="178558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59152"/>
        <c:crosses val="autoZero"/>
        <c:auto val="1"/>
        <c:lblAlgn val="ctr"/>
        <c:lblOffset val="100"/>
        <c:noMultiLvlLbl val="0"/>
      </c:catAx>
      <c:valAx>
        <c:axId val="72725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8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Group Net Profit: 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'Variance Analysis'!$B$43</c:f>
              <c:strCache>
                <c:ptCount val="1"/>
                <c:pt idx="0">
                  <c:v>Budget NP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'Variance Analysis'!$A$44:$A$55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'Variance Analysis'!$B$44:$B$55</c:f>
              <c:numCache>
                <c:formatCode>\₹#,##0;\(\₹#,##0\);\-</c:formatCode>
                <c:ptCount val="12"/>
                <c:pt idx="0">
                  <c:v>6404250</c:v>
                </c:pt>
                <c:pt idx="1">
                  <c:v>6596085</c:v>
                </c:pt>
                <c:pt idx="2">
                  <c:v>6787920</c:v>
                </c:pt>
                <c:pt idx="3">
                  <c:v>6692002</c:v>
                </c:pt>
                <c:pt idx="4">
                  <c:v>6979755</c:v>
                </c:pt>
                <c:pt idx="5">
                  <c:v>7171590</c:v>
                </c:pt>
                <c:pt idx="6">
                  <c:v>7363425</c:v>
                </c:pt>
                <c:pt idx="7">
                  <c:v>7555260</c:v>
                </c:pt>
                <c:pt idx="8">
                  <c:v>7459342</c:v>
                </c:pt>
                <c:pt idx="9">
                  <c:v>7938930</c:v>
                </c:pt>
                <c:pt idx="10">
                  <c:v>8322600</c:v>
                </c:pt>
                <c:pt idx="11">
                  <c:v>9089940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F-4397-A684-2CEDBB35BB5F}"/>
            </c:ext>
          </c:extLst>
        </c:ser>
        <c:ser>
          <c:idx val="1"/>
          <c:order val="1"/>
          <c:tx>
            <c:strRef>
              <c:f>'Variance Analysis'!$C$43</c:f>
              <c:strCache>
                <c:ptCount val="1"/>
                <c:pt idx="0">
                  <c:v>Actual NP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'Variance Analysis'!$A$44:$A$55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'Variance Analysis'!$C$44:$C$55</c:f>
              <c:numCache>
                <c:formatCode>\₹#,##0;\(\₹#,##0\);\-</c:formatCode>
                <c:ptCount val="12"/>
                <c:pt idx="0">
                  <c:v>5907652</c:v>
                </c:pt>
                <c:pt idx="1">
                  <c:v>6470297</c:v>
                </c:pt>
                <c:pt idx="2">
                  <c:v>5495047</c:v>
                </c:pt>
                <c:pt idx="3">
                  <c:v>6757216</c:v>
                </c:pt>
                <c:pt idx="4">
                  <c:v>6057689</c:v>
                </c:pt>
                <c:pt idx="5">
                  <c:v>6635264</c:v>
                </c:pt>
                <c:pt idx="6">
                  <c:v>7227770</c:v>
                </c:pt>
                <c:pt idx="7">
                  <c:v>6162935</c:v>
                </c:pt>
                <c:pt idx="8">
                  <c:v>7529622</c:v>
                </c:pt>
                <c:pt idx="9">
                  <c:v>7362878</c:v>
                </c:pt>
                <c:pt idx="10">
                  <c:v>8622543</c:v>
                </c:pt>
                <c:pt idx="11">
                  <c:v>7498710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F-4397-A684-2CEDBB35B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188336"/>
        <c:axId val="727284112"/>
      </c:lineChart>
      <c:catAx>
        <c:axId val="90618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84112"/>
        <c:crosses val="autoZero"/>
        <c:auto val="1"/>
        <c:lblAlgn val="ctr"/>
        <c:lblOffset val="100"/>
        <c:noMultiLvlLbl val="0"/>
      </c:catAx>
      <c:valAx>
        <c:axId val="7272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18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Overruns Driving the Profit Gap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'Variance Analysis'!$B$59</c:f>
              <c:strCache>
                <c:ptCount val="1"/>
                <c:pt idx="0">
                  <c:v>Overrun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'Variance Analysis'!$A$60:$A$64</c:f>
              <c:strCache>
                <c:ptCount val="5"/>
                <c:pt idx="0">
                  <c:v>COGS</c:v>
                </c:pt>
                <c:pt idx="1">
                  <c:v>Salaries</c:v>
                </c:pt>
                <c:pt idx="2">
                  <c:v>Utilities</c:v>
                </c:pt>
                <c:pt idx="3">
                  <c:v>Marketing</c:v>
                </c:pt>
                <c:pt idx="4">
                  <c:v>Other Opex</c:v>
                </c:pt>
              </c:strCache>
            </c:strRef>
          </c:cat>
          <c:val>
            <c:numRef>
              <c:f>'Variance Analysis'!$B$60:$B$64</c:f>
              <c:numCache>
                <c:formatCode>\₹#,##0;\(\₹#,##0\);\-</c:formatCode>
                <c:ptCount val="5"/>
                <c:pt idx="0">
                  <c:v>3997918</c:v>
                </c:pt>
                <c:pt idx="1">
                  <c:v>1995840</c:v>
                </c:pt>
                <c:pt idx="2">
                  <c:v>299377</c:v>
                </c:pt>
                <c:pt idx="3">
                  <c:v>1663200</c:v>
                </c:pt>
                <c:pt idx="4">
                  <c:v>623701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7-4C08-BAD5-8B684BC7E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6201792"/>
        <c:axId val="727292752"/>
      </c:barChart>
      <c:catAx>
        <c:axId val="906201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92752"/>
        <c:crosses val="autoZero"/>
        <c:auto val="1"/>
        <c:lblAlgn val="ctr"/>
        <c:lblOffset val="100"/>
        <c:noMultiLvlLbl val="0"/>
      </c:catAx>
      <c:valAx>
        <c:axId val="72729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20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Margin % by Branch: 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Analysis'!$B$100</c:f>
              <c:strCache>
                <c:ptCount val="1"/>
                <c:pt idx="0">
                  <c:v>Budget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'Variance Analysis'!$A$101:$A$106</c:f>
              <c:strCache>
                <c:ptCount val="6"/>
                <c:pt idx="0">
                  <c:v>Chennai</c:v>
                </c:pt>
                <c:pt idx="1">
                  <c:v>Mumbai</c:v>
                </c:pt>
                <c:pt idx="2">
                  <c:v>Pune</c:v>
                </c:pt>
                <c:pt idx="3">
                  <c:v>Hyderabad</c:v>
                </c:pt>
                <c:pt idx="4">
                  <c:v>Bangalore</c:v>
                </c:pt>
                <c:pt idx="5">
                  <c:v>Group</c:v>
                </c:pt>
              </c:strCache>
            </c:strRef>
          </c:cat>
          <c:val>
            <c:numRef>
              <c:f>'Variance Analysis'!$B$101:$B$106</c:f>
              <c:numCache>
                <c:formatCode>0.0%</c:formatCode>
                <c:ptCount val="6"/>
                <c:pt idx="0">
                  <c:v>0.16663636363636364</c:v>
                </c:pt>
                <c:pt idx="1">
                  <c:v>0.17367448680351907</c:v>
                </c:pt>
                <c:pt idx="2">
                  <c:v>0.15515311004784688</c:v>
                </c:pt>
                <c:pt idx="3">
                  <c:v>0.16167768595041324</c:v>
                </c:pt>
                <c:pt idx="4">
                  <c:v>0.17165203761755485</c:v>
                </c:pt>
                <c:pt idx="5">
                  <c:v>0.16692496392496392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4-42FF-BB13-E081A74D6E9A}"/>
            </c:ext>
          </c:extLst>
        </c:ser>
        <c:ser>
          <c:idx val="1"/>
          <c:order val="1"/>
          <c:tx>
            <c:strRef>
              <c:f>'Variance Analysis'!$C$100</c:f>
              <c:strCache>
                <c:ptCount val="1"/>
                <c:pt idx="0">
                  <c:v>Actual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'Variance Analysis'!$A$101:$A$106</c:f>
              <c:strCache>
                <c:ptCount val="6"/>
                <c:pt idx="0">
                  <c:v>Chennai</c:v>
                </c:pt>
                <c:pt idx="1">
                  <c:v>Mumbai</c:v>
                </c:pt>
                <c:pt idx="2">
                  <c:v>Pune</c:v>
                </c:pt>
                <c:pt idx="3">
                  <c:v>Hyderabad</c:v>
                </c:pt>
                <c:pt idx="4">
                  <c:v>Bangalore</c:v>
                </c:pt>
                <c:pt idx="5">
                  <c:v>Group</c:v>
                </c:pt>
              </c:strCache>
            </c:strRef>
          </c:cat>
          <c:val>
            <c:numRef>
              <c:f>'Variance Analysis'!$C$101:$C$106</c:f>
              <c:numCache>
                <c:formatCode>0.0%</c:formatCode>
                <c:ptCount val="6"/>
                <c:pt idx="0">
                  <c:v>0.15605034329104714</c:v>
                </c:pt>
                <c:pt idx="1">
                  <c:v>0.16309069014627822</c:v>
                </c:pt>
                <c:pt idx="2">
                  <c:v>0.14456341371776188</c:v>
                </c:pt>
                <c:pt idx="3">
                  <c:v>0.15109005758030447</c:v>
                </c:pt>
                <c:pt idx="4">
                  <c:v>0.16106761242213433</c:v>
                </c:pt>
                <c:pt idx="5">
                  <c:v>0.15633902273378469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4-42FF-BB13-E081A74D6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987008"/>
        <c:axId val="727282192"/>
      </c:barChart>
      <c:catAx>
        <c:axId val="85798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82192"/>
        <c:crosses val="autoZero"/>
        <c:auto val="1"/>
        <c:lblAlgn val="ctr"/>
        <c:lblOffset val="100"/>
        <c:noMultiLvlLbl val="0"/>
      </c:catAx>
      <c:valAx>
        <c:axId val="7272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8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Bridge: Budget →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'Variance Analysis'!$B$87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'Variance Analysis'!$A$88:$A$96</c:f>
              <c:strCache>
                <c:ptCount val="9"/>
                <c:pt idx="0">
                  <c:v>Budget NP</c:v>
                </c:pt>
                <c:pt idx="1">
                  <c:v>Revenue</c:v>
                </c:pt>
                <c:pt idx="2">
                  <c:v>COGS</c:v>
                </c:pt>
                <c:pt idx="3">
                  <c:v>Salaries</c:v>
                </c:pt>
                <c:pt idx="4">
                  <c:v>Marketing</c:v>
                </c:pt>
                <c:pt idx="5">
                  <c:v>Other Opex</c:v>
                </c:pt>
                <c:pt idx="6">
                  <c:v>Utilities</c:v>
                </c:pt>
                <c:pt idx="7">
                  <c:v>Tax</c:v>
                </c:pt>
                <c:pt idx="8">
                  <c:v>Actual NP</c:v>
                </c:pt>
              </c:strCache>
            </c:strRef>
          </c:cat>
          <c:val>
            <c:numRef>
              <c:f>'Variance Analysis'!$B$88:$B$96</c:f>
              <c:numCache>
                <c:formatCode>\₹#,##0;\(\₹#,##0\);\-</c:formatCode>
                <c:ptCount val="9"/>
                <c:pt idx="0">
                  <c:v>0</c:v>
                </c:pt>
                <c:pt idx="1">
                  <c:v>88096499</c:v>
                </c:pt>
                <c:pt idx="2">
                  <c:v>84098581</c:v>
                </c:pt>
                <c:pt idx="3">
                  <c:v>82102741</c:v>
                </c:pt>
                <c:pt idx="4">
                  <c:v>80439541</c:v>
                </c:pt>
                <c:pt idx="5">
                  <c:v>79815840</c:v>
                </c:pt>
                <c:pt idx="6">
                  <c:v>79516463</c:v>
                </c:pt>
                <c:pt idx="7">
                  <c:v>79516463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5-48E8-AB78-0EC094BDA159}"/>
            </c:ext>
          </c:extLst>
        </c:ser>
        <c:ser>
          <c:idx val="1"/>
          <c:order val="1"/>
          <c:tx>
            <c:strRef>
              <c:f>'Variance Analysis'!$C$87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'Variance Analysis'!$A$88:$A$96</c:f>
              <c:strCache>
                <c:ptCount val="9"/>
                <c:pt idx="0">
                  <c:v>Budget NP</c:v>
                </c:pt>
                <c:pt idx="1">
                  <c:v>Revenue</c:v>
                </c:pt>
                <c:pt idx="2">
                  <c:v>COGS</c:v>
                </c:pt>
                <c:pt idx="3">
                  <c:v>Salaries</c:v>
                </c:pt>
                <c:pt idx="4">
                  <c:v>Marketing</c:v>
                </c:pt>
                <c:pt idx="5">
                  <c:v>Other Opex</c:v>
                </c:pt>
                <c:pt idx="6">
                  <c:v>Utilities</c:v>
                </c:pt>
                <c:pt idx="7">
                  <c:v>Tax</c:v>
                </c:pt>
                <c:pt idx="8">
                  <c:v>Actual NP</c:v>
                </c:pt>
              </c:strCache>
            </c:strRef>
          </c:cat>
          <c:val>
            <c:numRef>
              <c:f>'Variance Analysis'!$C$88:$C$96</c:f>
              <c:numCache>
                <c:formatCode>\₹#,##0;\(\₹#,##0\);\-</c:formatCode>
                <c:ptCount val="9"/>
                <c:pt idx="0">
                  <c:v>0</c:v>
                </c:pt>
                <c:pt idx="1">
                  <c:v>264600</c:v>
                </c:pt>
                <c:pt idx="2">
                  <c:v>3997918</c:v>
                </c:pt>
                <c:pt idx="3">
                  <c:v>1995840</c:v>
                </c:pt>
                <c:pt idx="4">
                  <c:v>1663200</c:v>
                </c:pt>
                <c:pt idx="5">
                  <c:v>623701</c:v>
                </c:pt>
                <c:pt idx="6">
                  <c:v>299377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5-48E8-AB78-0EC094BDA159}"/>
            </c:ext>
          </c:extLst>
        </c:ser>
        <c:ser>
          <c:idx val="2"/>
          <c:order val="2"/>
          <c:tx>
            <c:strRef>
              <c:f>'Variance Analysis'!$D$87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'Variance Analysis'!$A$88:$A$96</c:f>
              <c:strCache>
                <c:ptCount val="9"/>
                <c:pt idx="0">
                  <c:v>Budget NP</c:v>
                </c:pt>
                <c:pt idx="1">
                  <c:v>Revenue</c:v>
                </c:pt>
                <c:pt idx="2">
                  <c:v>COGS</c:v>
                </c:pt>
                <c:pt idx="3">
                  <c:v>Salaries</c:v>
                </c:pt>
                <c:pt idx="4">
                  <c:v>Marketing</c:v>
                </c:pt>
                <c:pt idx="5">
                  <c:v>Other Opex</c:v>
                </c:pt>
                <c:pt idx="6">
                  <c:v>Utilities</c:v>
                </c:pt>
                <c:pt idx="7">
                  <c:v>Tax</c:v>
                </c:pt>
                <c:pt idx="8">
                  <c:v>Actual NP</c:v>
                </c:pt>
              </c:strCache>
            </c:strRef>
          </c:cat>
          <c:val>
            <c:numRef>
              <c:f>'Variance Analysis'!$D$88:$D$96</c:f>
              <c:numCache>
                <c:formatCode>\₹#,##0;\(\₹#,##0\);\-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2211160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5-48E8-AB78-0EC094BDA159}"/>
            </c:ext>
          </c:extLst>
        </c:ser>
        <c:ser>
          <c:idx val="3"/>
          <c:order val="3"/>
          <c:tx>
            <c:strRef>
              <c:f>'Variance Analysis'!$E$87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'Variance Analysis'!$A$88:$A$96</c:f>
              <c:strCache>
                <c:ptCount val="9"/>
                <c:pt idx="0">
                  <c:v>Budget NP</c:v>
                </c:pt>
                <c:pt idx="1">
                  <c:v>Revenue</c:v>
                </c:pt>
                <c:pt idx="2">
                  <c:v>COGS</c:v>
                </c:pt>
                <c:pt idx="3">
                  <c:v>Salaries</c:v>
                </c:pt>
                <c:pt idx="4">
                  <c:v>Marketing</c:v>
                </c:pt>
                <c:pt idx="5">
                  <c:v>Other Opex</c:v>
                </c:pt>
                <c:pt idx="6">
                  <c:v>Utilities</c:v>
                </c:pt>
                <c:pt idx="7">
                  <c:v>Tax</c:v>
                </c:pt>
                <c:pt idx="8">
                  <c:v>Actual NP</c:v>
                </c:pt>
              </c:strCache>
            </c:strRef>
          </c:cat>
          <c:val>
            <c:numRef>
              <c:f>'Variance Analysis'!$E$88:$E$96</c:f>
              <c:numCache>
                <c:formatCode>\₹#,##0;\(\₹#,##0\);\-</c:formatCode>
                <c:ptCount val="9"/>
                <c:pt idx="0">
                  <c:v>88361099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81727623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75-48E8-AB78-0EC094BDA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8661856"/>
        <c:axId val="727280752"/>
      </c:barChart>
      <c:catAx>
        <c:axId val="182866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280752"/>
        <c:crosses val="autoZero"/>
        <c:auto val="1"/>
        <c:lblAlgn val="ctr"/>
        <c:lblOffset val="100"/>
        <c:noMultiLvlLbl val="0"/>
      </c:catAx>
      <c:valAx>
        <c:axId val="7272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66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D794E-92D2-3A68-AB3B-1A88BEE6F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D01466-4EFB-938E-F20A-330E1FDC8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50A18D-8861-AB78-A67F-C3FCA30A4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16</xdr:col>
      <xdr:colOff>0</xdr:colOff>
      <xdr:row>75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AA3EA2-EFE7-6E54-D19A-5A8EA9E01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76</xdr:row>
      <xdr:rowOff>1</xdr:rowOff>
    </xdr:from>
    <xdr:to>
      <xdr:col>16</xdr:col>
      <xdr:colOff>0</xdr:colOff>
      <xdr:row>94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59833C-EA22-B700-867A-A31AAF24F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A5B9D4-7A69-4332-B499-427D5832ED8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52965fe9-d0cc-4f91-86d6-6cff572e2cb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3E3F-B1C8-418C-BD5F-B5164477F945}">
  <dimension ref="A1:AA15"/>
  <sheetViews>
    <sheetView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E25" sqref="E25"/>
    </sheetView>
  </sheetViews>
  <sheetFormatPr defaultRowHeight="14.4" x14ac:dyDescent="0.3"/>
  <cols>
    <col min="1" max="1" width="15.109375" bestFit="1" customWidth="1"/>
    <col min="2" max="25" width="11.6640625" bestFit="1" customWidth="1"/>
    <col min="26" max="26" width="13.5546875" bestFit="1" customWidth="1"/>
    <col min="27" max="27" width="12.77734375" bestFit="1" customWidth="1"/>
  </cols>
  <sheetData>
    <row r="1" spans="1:2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3">
      <c r="A2" s="4" t="s">
        <v>27</v>
      </c>
      <c r="B2" s="2">
        <f>Chennai!B2+Mumbai!B2+Pune!B2+Hyderabad!B2+Bangalore!B2</f>
        <v>63000000</v>
      </c>
      <c r="C2" s="2">
        <f>Chennai!C2+Mumbai!C2+Pune!C2+Hyderabad!C2+Bangalore!C2</f>
        <v>63000000</v>
      </c>
      <c r="D2" s="2">
        <f>Chennai!D2+Mumbai!D2+Pune!D2+Hyderabad!D2+Bangalore!D2</f>
        <v>64260000</v>
      </c>
      <c r="E2" s="2">
        <f>Chennai!E2+Mumbai!E2+Pune!E2+Hyderabad!E2+Bangalore!E2</f>
        <v>65545200</v>
      </c>
      <c r="F2" s="2">
        <f>Chennai!F2+Mumbai!F2+Pune!F2+Hyderabad!F2+Bangalore!F2</f>
        <v>65520000</v>
      </c>
      <c r="G2" s="2">
        <f>Chennai!G2+Mumbai!G2+Pune!G2+Hyderabad!G2+Bangalore!G2</f>
        <v>62899200</v>
      </c>
      <c r="H2" s="2">
        <f>Chennai!H2+Mumbai!H2+Pune!H2+Hyderabad!H2+Bangalore!H2</f>
        <v>64890000</v>
      </c>
      <c r="I2" s="2">
        <f>Chennai!I2+Mumbai!I2+Pune!I2+Hyderabad!I2+Bangalore!I2</f>
        <v>66836700</v>
      </c>
      <c r="J2" s="2">
        <f>Chennai!J2+Mumbai!J2+Pune!J2+Hyderabad!J2+Bangalore!J2</f>
        <v>66780000</v>
      </c>
      <c r="K2" s="2">
        <f>Chennai!K2+Mumbai!K2+Pune!K2+Hyderabad!K2+Bangalore!K2</f>
        <v>65444400</v>
      </c>
      <c r="L2" s="2">
        <f>Chennai!L2+Mumbai!L2+Pune!L2+Hyderabad!L2+Bangalore!L2</f>
        <v>68040000</v>
      </c>
      <c r="M2" s="2">
        <f>Chennai!M2+Mumbai!M2+Pune!M2+Hyderabad!M2+Bangalore!M2</f>
        <v>68040000</v>
      </c>
      <c r="N2" s="2">
        <f>Chennai!N2+Mumbai!N2+Pune!N2+Hyderabad!N2+Bangalore!N2</f>
        <v>69300000</v>
      </c>
      <c r="O2" s="2">
        <f>Chennai!O2+Mumbai!O2+Pune!O2+Hyderabad!O2+Bangalore!O2</f>
        <v>70686000</v>
      </c>
      <c r="P2" s="2">
        <f>Chennai!P2+Mumbai!P2+Pune!P2+Hyderabad!P2+Bangalore!P2</f>
        <v>70560000</v>
      </c>
      <c r="Q2" s="2">
        <f>Chennai!Q2+Mumbai!Q2+Pune!Q2+Hyderabad!Q2+Bangalore!Q2</f>
        <v>67737600</v>
      </c>
      <c r="R2" s="2">
        <f>Chennai!R2+Mumbai!R2+Pune!R2+Hyderabad!R2+Bangalore!R2</f>
        <v>69930000</v>
      </c>
      <c r="S2" s="2">
        <f>Chennai!S2+Mumbai!S2+Pune!S2+Hyderabad!S2+Bangalore!S2</f>
        <v>72027900</v>
      </c>
      <c r="T2" s="2">
        <f>Chennai!T2+Mumbai!T2+Pune!T2+Hyderabad!T2+Bangalore!T2</f>
        <v>73080000</v>
      </c>
      <c r="U2" s="2">
        <f>Chennai!U2+Mumbai!U2+Pune!U2+Hyderabad!U2+Bangalore!U2</f>
        <v>73080000</v>
      </c>
      <c r="V2" s="2">
        <f>Chennai!V2+Mumbai!V2+Pune!V2+Hyderabad!V2+Bangalore!V2</f>
        <v>75600000</v>
      </c>
      <c r="W2" s="2">
        <f>Chennai!W2+Mumbai!W2+Pune!W2+Hyderabad!W2+Bangalore!W2</f>
        <v>78624000</v>
      </c>
      <c r="X2" s="2">
        <f>Chennai!X2+Mumbai!X2+Pune!X2+Hyderabad!X2+Bangalore!X2</f>
        <v>80640000</v>
      </c>
      <c r="Y2" s="2">
        <f>Chennai!Y2+Mumbai!Y2+Pune!Y2+Hyderabad!Y2+Bangalore!Y2</f>
        <v>77414400</v>
      </c>
      <c r="Z2" s="2">
        <f>Chennai!Z2+Mumbai!Z2+Pune!Z2+Hyderabad!Z2+Bangalore!Z2</f>
        <v>831600000</v>
      </c>
      <c r="AA2" s="2">
        <f>Chennai!AA2+Mumbai!AA2+Pune!AA2+Hyderabad!AA2+Bangalore!AA2</f>
        <v>831335400</v>
      </c>
    </row>
    <row r="3" spans="1:27" x14ac:dyDescent="0.3">
      <c r="A3" s="4" t="s">
        <v>28</v>
      </c>
      <c r="B3" s="2">
        <f>Chennai!B3+Mumbai!B3+Pune!B3+Hyderabad!B3+Bangalore!B3</f>
        <v>37800000</v>
      </c>
      <c r="C3" s="2">
        <f>Chennai!C3+Mumbai!C3+Pune!C3+Hyderabad!C3+Bangalore!C3</f>
        <v>38115000</v>
      </c>
      <c r="D3" s="2">
        <f>Chennai!D3+Mumbai!D3+Pune!D3+Hyderabad!D3+Bangalore!D3</f>
        <v>38556000</v>
      </c>
      <c r="E3" s="2">
        <f>Chennai!E3+Mumbai!E3+Pune!E3+Hyderabad!E3+Bangalore!E3</f>
        <v>39654846</v>
      </c>
      <c r="F3" s="2">
        <f>Chennai!F3+Mumbai!F3+Pune!F3+Hyderabad!F3+Bangalore!F3</f>
        <v>39312000</v>
      </c>
      <c r="G3" s="2">
        <f>Chennai!G3+Mumbai!G3+Pune!G3+Hyderabad!G3+Bangalore!G3</f>
        <v>38054016</v>
      </c>
      <c r="H3" s="2">
        <f>Chennai!H3+Mumbai!H3+Pune!H3+Hyderabad!H3+Bangalore!H3</f>
        <v>38934000</v>
      </c>
      <c r="I3" s="2">
        <f>Chennai!I3+Mumbai!I3+Pune!I3+Hyderabad!I3+Bangalore!I3</f>
        <v>40436204</v>
      </c>
      <c r="J3" s="2">
        <f>Chennai!J3+Mumbai!J3+Pune!J3+Hyderabad!J3+Bangalore!J3</f>
        <v>40068000</v>
      </c>
      <c r="K3" s="2">
        <f>Chennai!K3+Mumbai!K3+Pune!K3+Hyderabad!K3+Bangalore!K3</f>
        <v>39593862</v>
      </c>
      <c r="L3" s="2">
        <f>Chennai!L3+Mumbai!L3+Pune!L3+Hyderabad!L3+Bangalore!L3</f>
        <v>40824000</v>
      </c>
      <c r="M3" s="2">
        <f>Chennai!M3+Mumbai!M3+Pune!M3+Hyderabad!M3+Bangalore!M3</f>
        <v>41164200</v>
      </c>
      <c r="N3" s="2">
        <f>Chennai!N3+Mumbai!N3+Pune!N3+Hyderabad!N3+Bangalore!N3</f>
        <v>41580000</v>
      </c>
      <c r="O3" s="2">
        <f>Chennai!O3+Mumbai!O3+Pune!O3+Hyderabad!O3+Bangalore!O3</f>
        <v>42765030</v>
      </c>
      <c r="P3" s="2">
        <f>Chennai!P3+Mumbai!P3+Pune!P3+Hyderabad!P3+Bangalore!P3</f>
        <v>42336000</v>
      </c>
      <c r="Q3" s="2">
        <f>Chennai!Q3+Mumbai!Q3+Pune!Q3+Hyderabad!Q3+Bangalore!Q3</f>
        <v>40981248</v>
      </c>
      <c r="R3" s="2">
        <f>Chennai!R3+Mumbai!R3+Pune!R3+Hyderabad!R3+Bangalore!R3</f>
        <v>41958000</v>
      </c>
      <c r="S3" s="2">
        <f>Chennai!S3+Mumbai!S3+Pune!S3+Hyderabad!S3+Bangalore!S3</f>
        <v>43576880</v>
      </c>
      <c r="T3" s="2">
        <f>Chennai!T3+Mumbai!T3+Pune!T3+Hyderabad!T3+Bangalore!T3</f>
        <v>43848000</v>
      </c>
      <c r="U3" s="2">
        <f>Chennai!U3+Mumbai!U3+Pune!U3+Hyderabad!U3+Bangalore!U3</f>
        <v>44213400</v>
      </c>
      <c r="V3" s="2">
        <f>Chennai!V3+Mumbai!V3+Pune!V3+Hyderabad!V3+Bangalore!V3</f>
        <v>45360000</v>
      </c>
      <c r="W3" s="2">
        <f>Chennai!W3+Mumbai!W3+Pune!W3+Hyderabad!W3+Bangalore!W3</f>
        <v>47567520</v>
      </c>
      <c r="X3" s="2">
        <f>Chennai!X3+Mumbai!X3+Pune!X3+Hyderabad!X3+Bangalore!X3</f>
        <v>48384000</v>
      </c>
      <c r="Y3" s="2">
        <f>Chennai!Y3+Mumbai!Y3+Pune!Y3+Hyderabad!Y3+Bangalore!Y3</f>
        <v>46835712</v>
      </c>
      <c r="Z3" s="2">
        <f>Chennai!Z3+Mumbai!Z3+Pune!Z3+Hyderabad!Z3+Bangalore!Z3</f>
        <v>498960000</v>
      </c>
      <c r="AA3" s="2">
        <f>Chennai!AA3+Mumbai!AA3+Pune!AA3+Hyderabad!AA3+Bangalore!AA3</f>
        <v>502957918</v>
      </c>
    </row>
    <row r="4" spans="1:27" x14ac:dyDescent="0.3">
      <c r="A4" s="5" t="s">
        <v>29</v>
      </c>
      <c r="B4" s="6">
        <f>B2-B3</f>
        <v>25200000</v>
      </c>
      <c r="C4" s="6">
        <f t="shared" ref="C4:AA4" si="0">C2-C3</f>
        <v>24885000</v>
      </c>
      <c r="D4" s="6">
        <f t="shared" si="0"/>
        <v>25704000</v>
      </c>
      <c r="E4" s="6">
        <f t="shared" si="0"/>
        <v>25890354</v>
      </c>
      <c r="F4" s="6">
        <f t="shared" si="0"/>
        <v>26208000</v>
      </c>
      <c r="G4" s="6">
        <f t="shared" si="0"/>
        <v>24845184</v>
      </c>
      <c r="H4" s="6">
        <f t="shared" si="0"/>
        <v>25956000</v>
      </c>
      <c r="I4" s="6">
        <f t="shared" si="0"/>
        <v>26400496</v>
      </c>
      <c r="J4" s="6">
        <f t="shared" si="0"/>
        <v>26712000</v>
      </c>
      <c r="K4" s="6">
        <f t="shared" si="0"/>
        <v>25850538</v>
      </c>
      <c r="L4" s="6">
        <f t="shared" si="0"/>
        <v>27216000</v>
      </c>
      <c r="M4" s="6">
        <f t="shared" si="0"/>
        <v>26875800</v>
      </c>
      <c r="N4" s="6">
        <f t="shared" si="0"/>
        <v>27720000</v>
      </c>
      <c r="O4" s="6">
        <f t="shared" si="0"/>
        <v>27920970</v>
      </c>
      <c r="P4" s="6">
        <f t="shared" si="0"/>
        <v>28224000</v>
      </c>
      <c r="Q4" s="6">
        <f t="shared" si="0"/>
        <v>26756352</v>
      </c>
      <c r="R4" s="6">
        <f t="shared" si="0"/>
        <v>27972000</v>
      </c>
      <c r="S4" s="6">
        <f t="shared" si="0"/>
        <v>28451020</v>
      </c>
      <c r="T4" s="6">
        <f t="shared" si="0"/>
        <v>29232000</v>
      </c>
      <c r="U4" s="6">
        <f t="shared" si="0"/>
        <v>28866600</v>
      </c>
      <c r="V4" s="6">
        <f t="shared" si="0"/>
        <v>30240000</v>
      </c>
      <c r="W4" s="6">
        <f t="shared" si="0"/>
        <v>31056480</v>
      </c>
      <c r="X4" s="6">
        <f t="shared" si="0"/>
        <v>32256000</v>
      </c>
      <c r="Y4" s="6">
        <f t="shared" si="0"/>
        <v>30578688</v>
      </c>
      <c r="Z4" s="6">
        <f t="shared" si="0"/>
        <v>332640000</v>
      </c>
      <c r="AA4" s="6">
        <f t="shared" si="0"/>
        <v>328377482</v>
      </c>
    </row>
    <row r="5" spans="1:27" x14ac:dyDescent="0.3">
      <c r="A5" s="4" t="s">
        <v>30</v>
      </c>
      <c r="B5" s="2">
        <f>Chennai!B5+Mumbai!B5+Pune!B5+Hyderabad!B5+Bangalore!B5</f>
        <v>7560000</v>
      </c>
      <c r="C5" s="2">
        <f>Chennai!C5+Mumbai!C5+Pune!C5+Hyderabad!C5+Bangalore!C5</f>
        <v>7711200</v>
      </c>
      <c r="D5" s="2">
        <f>Chennai!D5+Mumbai!D5+Pune!D5+Hyderabad!D5+Bangalore!D5</f>
        <v>7711200</v>
      </c>
      <c r="E5" s="2">
        <f>Chennai!E5+Mumbai!E5+Pune!E5+Hyderabad!E5+Bangalore!E5</f>
        <v>7865424</v>
      </c>
      <c r="F5" s="2">
        <f>Chennai!F5+Mumbai!F5+Pune!F5+Hyderabad!F5+Bangalore!F5</f>
        <v>7862400</v>
      </c>
      <c r="G5" s="2">
        <f>Chennai!G5+Mumbai!G5+Pune!G5+Hyderabad!G5+Bangalore!G5</f>
        <v>8019648</v>
      </c>
      <c r="H5" s="2">
        <f>Chennai!H5+Mumbai!H5+Pune!H5+Hyderabad!H5+Bangalore!H5</f>
        <v>7786800</v>
      </c>
      <c r="I5" s="2">
        <f>Chennai!I5+Mumbai!I5+Pune!I5+Hyderabad!I5+Bangalore!I5</f>
        <v>7942536</v>
      </c>
      <c r="J5" s="2">
        <f>Chennai!J5+Mumbai!J5+Pune!J5+Hyderabad!J5+Bangalore!J5</f>
        <v>8013600</v>
      </c>
      <c r="K5" s="2">
        <f>Chennai!K5+Mumbai!K5+Pune!K5+Hyderabad!K5+Bangalore!K5</f>
        <v>8173872</v>
      </c>
      <c r="L5" s="2">
        <f>Chennai!L5+Mumbai!L5+Pune!L5+Hyderabad!L5+Bangalore!L5</f>
        <v>8164800</v>
      </c>
      <c r="M5" s="2">
        <f>Chennai!M5+Mumbai!M5+Pune!M5+Hyderabad!M5+Bangalore!M5</f>
        <v>8328096</v>
      </c>
      <c r="N5" s="2">
        <f>Chennai!N5+Mumbai!N5+Pune!N5+Hyderabad!N5+Bangalore!N5</f>
        <v>8316000</v>
      </c>
      <c r="O5" s="2">
        <f>Chennai!O5+Mumbai!O5+Pune!O5+Hyderabad!O5+Bangalore!O5</f>
        <v>8482320</v>
      </c>
      <c r="P5" s="2">
        <f>Chennai!P5+Mumbai!P5+Pune!P5+Hyderabad!P5+Bangalore!P5</f>
        <v>8467200</v>
      </c>
      <c r="Q5" s="2">
        <f>Chennai!Q5+Mumbai!Q5+Pune!Q5+Hyderabad!Q5+Bangalore!Q5</f>
        <v>8636544</v>
      </c>
      <c r="R5" s="2">
        <f>Chennai!R5+Mumbai!R5+Pune!R5+Hyderabad!R5+Bangalore!R5</f>
        <v>8391600</v>
      </c>
      <c r="S5" s="2">
        <f>Chennai!S5+Mumbai!S5+Pune!S5+Hyderabad!S5+Bangalore!S5</f>
        <v>8559432</v>
      </c>
      <c r="T5" s="2">
        <f>Chennai!T5+Mumbai!T5+Pune!T5+Hyderabad!T5+Bangalore!T5</f>
        <v>8769600</v>
      </c>
      <c r="U5" s="2">
        <f>Chennai!U5+Mumbai!U5+Pune!U5+Hyderabad!U5+Bangalore!U5</f>
        <v>8944992</v>
      </c>
      <c r="V5" s="2">
        <f>Chennai!V5+Mumbai!V5+Pune!V5+Hyderabad!V5+Bangalore!V5</f>
        <v>9072000</v>
      </c>
      <c r="W5" s="2">
        <f>Chennai!W5+Mumbai!W5+Pune!W5+Hyderabad!W5+Bangalore!W5</f>
        <v>9253440</v>
      </c>
      <c r="X5" s="2">
        <f>Chennai!X5+Mumbai!X5+Pune!X5+Hyderabad!X5+Bangalore!X5</f>
        <v>9676800</v>
      </c>
      <c r="Y5" s="2">
        <f>Chennai!Y5+Mumbai!Y5+Pune!Y5+Hyderabad!Y5+Bangalore!Y5</f>
        <v>9870336</v>
      </c>
      <c r="Z5" s="2">
        <f>Chennai!Z5+Mumbai!Z5+Pune!Z5+Hyderabad!Z5+Bangalore!Z5</f>
        <v>99792000</v>
      </c>
      <c r="AA5" s="2">
        <f>Chennai!AA5+Mumbai!AA5+Pune!AA5+Hyderabad!AA5+Bangalore!AA5</f>
        <v>101787840</v>
      </c>
    </row>
    <row r="6" spans="1:27" x14ac:dyDescent="0.3">
      <c r="A6" s="4" t="s">
        <v>31</v>
      </c>
      <c r="B6" s="2">
        <f>Chennai!B6+Mumbai!B6+Pune!B6+Hyderabad!B6+Bangalore!B6</f>
        <v>2500000</v>
      </c>
      <c r="C6" s="2">
        <f>Chennai!C6+Mumbai!C6+Pune!C6+Hyderabad!C6+Bangalore!C6</f>
        <v>2500000</v>
      </c>
      <c r="D6" s="2">
        <f>Chennai!D6+Mumbai!D6+Pune!D6+Hyderabad!D6+Bangalore!D6</f>
        <v>2500000</v>
      </c>
      <c r="E6" s="2">
        <f>Chennai!E6+Mumbai!E6+Pune!E6+Hyderabad!E6+Bangalore!E6</f>
        <v>2500000</v>
      </c>
      <c r="F6" s="2">
        <f>Chennai!F6+Mumbai!F6+Pune!F6+Hyderabad!F6+Bangalore!F6</f>
        <v>2500000</v>
      </c>
      <c r="G6" s="2">
        <f>Chennai!G6+Mumbai!G6+Pune!G6+Hyderabad!G6+Bangalore!G6</f>
        <v>2500000</v>
      </c>
      <c r="H6" s="2">
        <f>Chennai!H6+Mumbai!H6+Pune!H6+Hyderabad!H6+Bangalore!H6</f>
        <v>2500000</v>
      </c>
      <c r="I6" s="2">
        <f>Chennai!I6+Mumbai!I6+Pune!I6+Hyderabad!I6+Bangalore!I6</f>
        <v>2500000</v>
      </c>
      <c r="J6" s="2">
        <f>Chennai!J6+Mumbai!J6+Pune!J6+Hyderabad!J6+Bangalore!J6</f>
        <v>2500000</v>
      </c>
      <c r="K6" s="2">
        <f>Chennai!K6+Mumbai!K6+Pune!K6+Hyderabad!K6+Bangalore!K6</f>
        <v>2500000</v>
      </c>
      <c r="L6" s="2">
        <f>Chennai!L6+Mumbai!L6+Pune!L6+Hyderabad!L6+Bangalore!L6</f>
        <v>2500000</v>
      </c>
      <c r="M6" s="2">
        <f>Chennai!M6+Mumbai!M6+Pune!M6+Hyderabad!M6+Bangalore!M6</f>
        <v>2500000</v>
      </c>
      <c r="N6" s="2">
        <f>Chennai!N6+Mumbai!N6+Pune!N6+Hyderabad!N6+Bangalore!N6</f>
        <v>2500000</v>
      </c>
      <c r="O6" s="2">
        <f>Chennai!O6+Mumbai!O6+Pune!O6+Hyderabad!O6+Bangalore!O6</f>
        <v>2500000</v>
      </c>
      <c r="P6" s="2">
        <f>Chennai!P6+Mumbai!P6+Pune!P6+Hyderabad!P6+Bangalore!P6</f>
        <v>2500000</v>
      </c>
      <c r="Q6" s="2">
        <f>Chennai!Q6+Mumbai!Q6+Pune!Q6+Hyderabad!Q6+Bangalore!Q6</f>
        <v>2500000</v>
      </c>
      <c r="R6" s="2">
        <f>Chennai!R6+Mumbai!R6+Pune!R6+Hyderabad!R6+Bangalore!R6</f>
        <v>2500000</v>
      </c>
      <c r="S6" s="2">
        <f>Chennai!S6+Mumbai!S6+Pune!S6+Hyderabad!S6+Bangalore!S6</f>
        <v>2500000</v>
      </c>
      <c r="T6" s="2">
        <f>Chennai!T6+Mumbai!T6+Pune!T6+Hyderabad!T6+Bangalore!T6</f>
        <v>2500000</v>
      </c>
      <c r="U6" s="2">
        <f>Chennai!U6+Mumbai!U6+Pune!U6+Hyderabad!U6+Bangalore!U6</f>
        <v>2500000</v>
      </c>
      <c r="V6" s="2">
        <f>Chennai!V6+Mumbai!V6+Pune!V6+Hyderabad!V6+Bangalore!V6</f>
        <v>2500000</v>
      </c>
      <c r="W6" s="2">
        <f>Chennai!W6+Mumbai!W6+Pune!W6+Hyderabad!W6+Bangalore!W6</f>
        <v>2500000</v>
      </c>
      <c r="X6" s="2">
        <f>Chennai!X6+Mumbai!X6+Pune!X6+Hyderabad!X6+Bangalore!X6</f>
        <v>2500000</v>
      </c>
      <c r="Y6" s="2">
        <f>Chennai!Y6+Mumbai!Y6+Pune!Y6+Hyderabad!Y6+Bangalore!Y6</f>
        <v>2500000</v>
      </c>
      <c r="Z6" s="2">
        <f>Chennai!Z6+Mumbai!Z6+Pune!Z6+Hyderabad!Z6+Bangalore!Z6</f>
        <v>30000000</v>
      </c>
      <c r="AA6" s="2">
        <f>Chennai!AA6+Mumbai!AA6+Pune!AA6+Hyderabad!AA6+Bangalore!AA6</f>
        <v>30000000</v>
      </c>
    </row>
    <row r="7" spans="1:27" x14ac:dyDescent="0.3">
      <c r="A7" s="4" t="s">
        <v>32</v>
      </c>
      <c r="B7" s="2">
        <f>Chennai!B7+Mumbai!B7+Pune!B7+Hyderabad!B7+Bangalore!B7</f>
        <v>756000</v>
      </c>
      <c r="C7" s="2">
        <f>Chennai!C7+Mumbai!C7+Pune!C7+Hyderabad!C7+Bangalore!C7</f>
        <v>778680</v>
      </c>
      <c r="D7" s="2">
        <f>Chennai!D7+Mumbai!D7+Pune!D7+Hyderabad!D7+Bangalore!D7</f>
        <v>771120</v>
      </c>
      <c r="E7" s="2">
        <f>Chennai!E7+Mumbai!E7+Pune!E7+Hyderabad!E7+Bangalore!E7</f>
        <v>794253</v>
      </c>
      <c r="F7" s="2">
        <f>Chennai!F7+Mumbai!F7+Pune!F7+Hyderabad!F7+Bangalore!F7</f>
        <v>786240</v>
      </c>
      <c r="G7" s="2">
        <f>Chennai!G7+Mumbai!G7+Pune!G7+Hyderabad!G7+Bangalore!G7</f>
        <v>809827</v>
      </c>
      <c r="H7" s="2">
        <f>Chennai!H7+Mumbai!H7+Pune!H7+Hyderabad!H7+Bangalore!H7</f>
        <v>778680</v>
      </c>
      <c r="I7" s="2">
        <f>Chennai!I7+Mumbai!I7+Pune!I7+Hyderabad!I7+Bangalore!I7</f>
        <v>802041</v>
      </c>
      <c r="J7" s="2">
        <f>Chennai!J7+Mumbai!J7+Pune!J7+Hyderabad!J7+Bangalore!J7</f>
        <v>801360</v>
      </c>
      <c r="K7" s="2">
        <f>Chennai!K7+Mumbai!K7+Pune!K7+Hyderabad!K7+Bangalore!K7</f>
        <v>825401</v>
      </c>
      <c r="L7" s="2">
        <f>Chennai!L7+Mumbai!L7+Pune!L7+Hyderabad!L7+Bangalore!L7</f>
        <v>816480</v>
      </c>
      <c r="M7" s="2">
        <f>Chennai!M7+Mumbai!M7+Pune!M7+Hyderabad!M7+Bangalore!M7</f>
        <v>840975</v>
      </c>
      <c r="N7" s="2">
        <f>Chennai!N7+Mumbai!N7+Pune!N7+Hyderabad!N7+Bangalore!N7</f>
        <v>831600</v>
      </c>
      <c r="O7" s="2">
        <f>Chennai!O7+Mumbai!O7+Pune!O7+Hyderabad!O7+Bangalore!O7</f>
        <v>856548</v>
      </c>
      <c r="P7" s="2">
        <f>Chennai!P7+Mumbai!P7+Pune!P7+Hyderabad!P7+Bangalore!P7</f>
        <v>846720</v>
      </c>
      <c r="Q7" s="2">
        <f>Chennai!Q7+Mumbai!Q7+Pune!Q7+Hyderabad!Q7+Bangalore!Q7</f>
        <v>872121</v>
      </c>
      <c r="R7" s="2">
        <f>Chennai!R7+Mumbai!R7+Pune!R7+Hyderabad!R7+Bangalore!R7</f>
        <v>839160</v>
      </c>
      <c r="S7" s="2">
        <f>Chennai!S7+Mumbai!S7+Pune!S7+Hyderabad!S7+Bangalore!S7</f>
        <v>864335</v>
      </c>
      <c r="T7" s="2">
        <f>Chennai!T7+Mumbai!T7+Pune!T7+Hyderabad!T7+Bangalore!T7</f>
        <v>876960</v>
      </c>
      <c r="U7" s="2">
        <f>Chennai!U7+Mumbai!U7+Pune!U7+Hyderabad!U7+Bangalore!U7</f>
        <v>903269</v>
      </c>
      <c r="V7" s="2">
        <f>Chennai!V7+Mumbai!V7+Pune!V7+Hyderabad!V7+Bangalore!V7</f>
        <v>907200</v>
      </c>
      <c r="W7" s="2">
        <f>Chennai!W7+Mumbai!W7+Pune!W7+Hyderabad!W7+Bangalore!W7</f>
        <v>934416</v>
      </c>
      <c r="X7" s="2">
        <f>Chennai!X7+Mumbai!X7+Pune!X7+Hyderabad!X7+Bangalore!X7</f>
        <v>967680</v>
      </c>
      <c r="Y7" s="2">
        <f>Chennai!Y7+Mumbai!Y7+Pune!Y7+Hyderabad!Y7+Bangalore!Y7</f>
        <v>996711</v>
      </c>
      <c r="Z7" s="2">
        <f>Chennai!Z7+Mumbai!Z7+Pune!Z7+Hyderabad!Z7+Bangalore!Z7</f>
        <v>9979200</v>
      </c>
      <c r="AA7" s="2">
        <f>Chennai!AA7+Mumbai!AA7+Pune!AA7+Hyderabad!AA7+Bangalore!AA7</f>
        <v>10278577</v>
      </c>
    </row>
    <row r="8" spans="1:27" x14ac:dyDescent="0.3">
      <c r="A8" s="4" t="s">
        <v>33</v>
      </c>
      <c r="B8" s="2">
        <f>Chennai!B8+Mumbai!B8+Pune!B8+Hyderabad!B8+Bangalore!B8</f>
        <v>2520000</v>
      </c>
      <c r="C8" s="2">
        <f>Chennai!C8+Mumbai!C8+Pune!C8+Hyderabad!C8+Bangalore!C8</f>
        <v>2646000</v>
      </c>
      <c r="D8" s="2">
        <f>Chennai!D8+Mumbai!D8+Pune!D8+Hyderabad!D8+Bangalore!D8</f>
        <v>2570400</v>
      </c>
      <c r="E8" s="2">
        <f>Chennai!E8+Mumbai!E8+Pune!E8+Hyderabad!E8+Bangalore!E8</f>
        <v>2698920</v>
      </c>
      <c r="F8" s="2">
        <f>Chennai!F8+Mumbai!F8+Pune!F8+Hyderabad!F8+Bangalore!F8</f>
        <v>2620800</v>
      </c>
      <c r="G8" s="2">
        <f>Chennai!G8+Mumbai!G8+Pune!G8+Hyderabad!G8+Bangalore!G8</f>
        <v>2751840</v>
      </c>
      <c r="H8" s="2">
        <f>Chennai!H8+Mumbai!H8+Pune!H8+Hyderabad!H8+Bangalore!H8</f>
        <v>2595600</v>
      </c>
      <c r="I8" s="2">
        <f>Chennai!I8+Mumbai!I8+Pune!I8+Hyderabad!I8+Bangalore!I8</f>
        <v>2725380</v>
      </c>
      <c r="J8" s="2">
        <f>Chennai!J8+Mumbai!J8+Pune!J8+Hyderabad!J8+Bangalore!J8</f>
        <v>2671200</v>
      </c>
      <c r="K8" s="2">
        <f>Chennai!K8+Mumbai!K8+Pune!K8+Hyderabad!K8+Bangalore!K8</f>
        <v>2804760</v>
      </c>
      <c r="L8" s="2">
        <f>Chennai!L8+Mumbai!L8+Pune!L8+Hyderabad!L8+Bangalore!L8</f>
        <v>2721600</v>
      </c>
      <c r="M8" s="2">
        <f>Chennai!M8+Mumbai!M8+Pune!M8+Hyderabad!M8+Bangalore!M8</f>
        <v>2857680</v>
      </c>
      <c r="N8" s="2">
        <f>Chennai!N8+Mumbai!N8+Pune!N8+Hyderabad!N8+Bangalore!N8</f>
        <v>2772000</v>
      </c>
      <c r="O8" s="2">
        <f>Chennai!O8+Mumbai!O8+Pune!O8+Hyderabad!O8+Bangalore!O8</f>
        <v>2910600</v>
      </c>
      <c r="P8" s="2">
        <f>Chennai!P8+Mumbai!P8+Pune!P8+Hyderabad!P8+Bangalore!P8</f>
        <v>2822400</v>
      </c>
      <c r="Q8" s="2">
        <f>Chennai!Q8+Mumbai!Q8+Pune!Q8+Hyderabad!Q8+Bangalore!Q8</f>
        <v>2963520</v>
      </c>
      <c r="R8" s="2">
        <f>Chennai!R8+Mumbai!R8+Pune!R8+Hyderabad!R8+Bangalore!R8</f>
        <v>2797200</v>
      </c>
      <c r="S8" s="2">
        <f>Chennai!S8+Mumbai!S8+Pune!S8+Hyderabad!S8+Bangalore!S8</f>
        <v>2937060</v>
      </c>
      <c r="T8" s="2">
        <f>Chennai!T8+Mumbai!T8+Pune!T8+Hyderabad!T8+Bangalore!T8</f>
        <v>2923200</v>
      </c>
      <c r="U8" s="2">
        <f>Chennai!U8+Mumbai!U8+Pune!U8+Hyderabad!U8+Bangalore!U8</f>
        <v>3069360</v>
      </c>
      <c r="V8" s="2">
        <f>Chennai!V8+Mumbai!V8+Pune!V8+Hyderabad!V8+Bangalore!V8</f>
        <v>3024000</v>
      </c>
      <c r="W8" s="2">
        <f>Chennai!W8+Mumbai!W8+Pune!W8+Hyderabad!W8+Bangalore!W8</f>
        <v>3175200</v>
      </c>
      <c r="X8" s="2">
        <f>Chennai!X8+Mumbai!X8+Pune!X8+Hyderabad!X8+Bangalore!X8</f>
        <v>3225600</v>
      </c>
      <c r="Y8" s="2">
        <f>Chennai!Y8+Mumbai!Y8+Pune!Y8+Hyderabad!Y8+Bangalore!Y8</f>
        <v>3386880</v>
      </c>
      <c r="Z8" s="2">
        <f>Chennai!Z8+Mumbai!Z8+Pune!Z8+Hyderabad!Z8+Bangalore!Z8</f>
        <v>33264000</v>
      </c>
      <c r="AA8" s="2">
        <f>Chennai!AA8+Mumbai!AA8+Pune!AA8+Hyderabad!AA8+Bangalore!AA8</f>
        <v>34927200</v>
      </c>
    </row>
    <row r="9" spans="1:27" x14ac:dyDescent="0.3">
      <c r="A9" s="4" t="s">
        <v>34</v>
      </c>
      <c r="B9" s="2">
        <f>Chennai!B9+Mumbai!B9+Pune!B9+Hyderabad!B9+Bangalore!B9</f>
        <v>1575000</v>
      </c>
      <c r="C9" s="2">
        <f>Chennai!C9+Mumbai!C9+Pune!C9+Hyderabad!C9+Bangalore!C9</f>
        <v>1622250</v>
      </c>
      <c r="D9" s="2">
        <f>Chennai!D9+Mumbai!D9+Pune!D9+Hyderabad!D9+Bangalore!D9</f>
        <v>1606500</v>
      </c>
      <c r="E9" s="2">
        <f>Chennai!E9+Mumbai!E9+Pune!E9+Hyderabad!E9+Bangalore!E9</f>
        <v>1654695</v>
      </c>
      <c r="F9" s="2">
        <f>Chennai!F9+Mumbai!F9+Pune!F9+Hyderabad!F9+Bangalore!F9</f>
        <v>1638000</v>
      </c>
      <c r="G9" s="2">
        <f>Chennai!G9+Mumbai!G9+Pune!G9+Hyderabad!G9+Bangalore!G9</f>
        <v>1687140</v>
      </c>
      <c r="H9" s="2">
        <f>Chennai!H9+Mumbai!H9+Pune!H9+Hyderabad!H9+Bangalore!H9</f>
        <v>1622250</v>
      </c>
      <c r="I9" s="2">
        <f>Chennai!I9+Mumbai!I9+Pune!I9+Hyderabad!I9+Bangalore!I9</f>
        <v>1670918</v>
      </c>
      <c r="J9" s="2">
        <f>Chennai!J9+Mumbai!J9+Pune!J9+Hyderabad!J9+Bangalore!J9</f>
        <v>1669500</v>
      </c>
      <c r="K9" s="2">
        <f>Chennai!K9+Mumbai!K9+Pune!K9+Hyderabad!K9+Bangalore!K9</f>
        <v>1719585</v>
      </c>
      <c r="L9" s="2">
        <f>Chennai!L9+Mumbai!L9+Pune!L9+Hyderabad!L9+Bangalore!L9</f>
        <v>1701000</v>
      </c>
      <c r="M9" s="2">
        <f>Chennai!M9+Mumbai!M9+Pune!M9+Hyderabad!M9+Bangalore!M9</f>
        <v>1752030</v>
      </c>
      <c r="N9" s="2">
        <f>Chennai!N9+Mumbai!N9+Pune!N9+Hyderabad!N9+Bangalore!N9</f>
        <v>1732500</v>
      </c>
      <c r="O9" s="2">
        <f>Chennai!O9+Mumbai!O9+Pune!O9+Hyderabad!O9+Bangalore!O9</f>
        <v>1784475</v>
      </c>
      <c r="P9" s="2">
        <f>Chennai!P9+Mumbai!P9+Pune!P9+Hyderabad!P9+Bangalore!P9</f>
        <v>1764000</v>
      </c>
      <c r="Q9" s="2">
        <f>Chennai!Q9+Mumbai!Q9+Pune!Q9+Hyderabad!Q9+Bangalore!Q9</f>
        <v>1816920</v>
      </c>
      <c r="R9" s="2">
        <f>Chennai!R9+Mumbai!R9+Pune!R9+Hyderabad!R9+Bangalore!R9</f>
        <v>1748250</v>
      </c>
      <c r="S9" s="2">
        <f>Chennai!S9+Mumbai!S9+Pune!S9+Hyderabad!S9+Bangalore!S9</f>
        <v>1800698</v>
      </c>
      <c r="T9" s="2">
        <f>Chennai!T9+Mumbai!T9+Pune!T9+Hyderabad!T9+Bangalore!T9</f>
        <v>1827000</v>
      </c>
      <c r="U9" s="2">
        <f>Chennai!U9+Mumbai!U9+Pune!U9+Hyderabad!U9+Bangalore!U9</f>
        <v>1881810</v>
      </c>
      <c r="V9" s="2">
        <f>Chennai!V9+Mumbai!V9+Pune!V9+Hyderabad!V9+Bangalore!V9</f>
        <v>1890000</v>
      </c>
      <c r="W9" s="2">
        <f>Chennai!W9+Mumbai!W9+Pune!W9+Hyderabad!W9+Bangalore!W9</f>
        <v>1946700</v>
      </c>
      <c r="X9" s="2">
        <f>Chennai!X9+Mumbai!X9+Pune!X9+Hyderabad!X9+Bangalore!X9</f>
        <v>2016000</v>
      </c>
      <c r="Y9" s="2">
        <f>Chennai!Y9+Mumbai!Y9+Pune!Y9+Hyderabad!Y9+Bangalore!Y9</f>
        <v>2076480</v>
      </c>
      <c r="Z9" s="2">
        <f>Chennai!Z9+Mumbai!Z9+Pune!Z9+Hyderabad!Z9+Bangalore!Z9</f>
        <v>20790000</v>
      </c>
      <c r="AA9" s="2">
        <f>Chennai!AA9+Mumbai!AA9+Pune!AA9+Hyderabad!AA9+Bangalore!AA9</f>
        <v>21413701</v>
      </c>
    </row>
    <row r="10" spans="1:27" x14ac:dyDescent="0.3">
      <c r="A10" s="7" t="s">
        <v>35</v>
      </c>
      <c r="B10" s="8">
        <f>B4-SUM(B5:B9)</f>
        <v>10289000</v>
      </c>
      <c r="C10" s="8">
        <f t="shared" ref="C10:AA10" si="1">C4-SUM(C5:C9)</f>
        <v>9626870</v>
      </c>
      <c r="D10" s="8">
        <f t="shared" si="1"/>
        <v>10544780</v>
      </c>
      <c r="E10" s="8">
        <f t="shared" si="1"/>
        <v>10377062</v>
      </c>
      <c r="F10" s="8">
        <f t="shared" si="1"/>
        <v>10800560</v>
      </c>
      <c r="G10" s="8">
        <f t="shared" si="1"/>
        <v>9076729</v>
      </c>
      <c r="H10" s="8">
        <f t="shared" si="1"/>
        <v>10672670</v>
      </c>
      <c r="I10" s="8">
        <f t="shared" si="1"/>
        <v>10759621</v>
      </c>
      <c r="J10" s="8">
        <f t="shared" si="1"/>
        <v>11056340</v>
      </c>
      <c r="K10" s="8">
        <f t="shared" si="1"/>
        <v>9826920</v>
      </c>
      <c r="L10" s="8">
        <f t="shared" si="1"/>
        <v>11312120</v>
      </c>
      <c r="M10" s="8">
        <f t="shared" si="1"/>
        <v>10597019</v>
      </c>
      <c r="N10" s="8">
        <f t="shared" si="1"/>
        <v>11567900</v>
      </c>
      <c r="O10" s="8">
        <f t="shared" si="1"/>
        <v>11387027</v>
      </c>
      <c r="P10" s="8">
        <f t="shared" si="1"/>
        <v>11823680</v>
      </c>
      <c r="Q10" s="8">
        <f t="shared" si="1"/>
        <v>9967247</v>
      </c>
      <c r="R10" s="8">
        <f t="shared" si="1"/>
        <v>11695790</v>
      </c>
      <c r="S10" s="8">
        <f t="shared" si="1"/>
        <v>11789495</v>
      </c>
      <c r="T10" s="8">
        <f t="shared" si="1"/>
        <v>12335240</v>
      </c>
      <c r="U10" s="8">
        <f t="shared" si="1"/>
        <v>11567169</v>
      </c>
      <c r="V10" s="8">
        <f t="shared" si="1"/>
        <v>12846800</v>
      </c>
      <c r="W10" s="8">
        <f t="shared" si="1"/>
        <v>13246724</v>
      </c>
      <c r="X10" s="8">
        <f t="shared" si="1"/>
        <v>13869920</v>
      </c>
      <c r="Y10" s="8">
        <f t="shared" si="1"/>
        <v>11748281</v>
      </c>
      <c r="Z10" s="8">
        <f t="shared" si="1"/>
        <v>138814800</v>
      </c>
      <c r="AA10" s="8">
        <f t="shared" si="1"/>
        <v>129970164</v>
      </c>
    </row>
    <row r="11" spans="1:27" x14ac:dyDescent="0.3">
      <c r="A11" s="4" t="s">
        <v>36</v>
      </c>
      <c r="B11" s="2">
        <f>Chennai!B11+Mumbai!B11+Pune!B11+Hyderabad!B11+Bangalore!B11</f>
        <v>1250000</v>
      </c>
      <c r="C11" s="2">
        <f>Chennai!C11+Mumbai!C11+Pune!C11+Hyderabad!C11+Bangalore!C11</f>
        <v>1250000</v>
      </c>
      <c r="D11" s="2">
        <f>Chennai!D11+Mumbai!D11+Pune!D11+Hyderabad!D11+Bangalore!D11</f>
        <v>1250000</v>
      </c>
      <c r="E11" s="2">
        <f>Chennai!E11+Mumbai!E11+Pune!E11+Hyderabad!E11+Bangalore!E11</f>
        <v>1250000</v>
      </c>
      <c r="F11" s="2">
        <f>Chennai!F11+Mumbai!F11+Pune!F11+Hyderabad!F11+Bangalore!F11</f>
        <v>1250000</v>
      </c>
      <c r="G11" s="2">
        <f>Chennai!G11+Mumbai!G11+Pune!G11+Hyderabad!G11+Bangalore!G11</f>
        <v>1250000</v>
      </c>
      <c r="H11" s="2">
        <f>Chennai!H11+Mumbai!H11+Pune!H11+Hyderabad!H11+Bangalore!H11</f>
        <v>1250000</v>
      </c>
      <c r="I11" s="2">
        <f>Chennai!I11+Mumbai!I11+Pune!I11+Hyderabad!I11+Bangalore!I11</f>
        <v>1250000</v>
      </c>
      <c r="J11" s="2">
        <f>Chennai!J11+Mumbai!J11+Pune!J11+Hyderabad!J11+Bangalore!J11</f>
        <v>1250000</v>
      </c>
      <c r="K11" s="2">
        <f>Chennai!K11+Mumbai!K11+Pune!K11+Hyderabad!K11+Bangalore!K11</f>
        <v>1250000</v>
      </c>
      <c r="L11" s="2">
        <f>Chennai!L11+Mumbai!L11+Pune!L11+Hyderabad!L11+Bangalore!L11</f>
        <v>1250000</v>
      </c>
      <c r="M11" s="2">
        <f>Chennai!M11+Mumbai!M11+Pune!M11+Hyderabad!M11+Bangalore!M11</f>
        <v>1250000</v>
      </c>
      <c r="N11" s="2">
        <f>Chennai!N11+Mumbai!N11+Pune!N11+Hyderabad!N11+Bangalore!N11</f>
        <v>1250000</v>
      </c>
      <c r="O11" s="2">
        <f>Chennai!O11+Mumbai!O11+Pune!O11+Hyderabad!O11+Bangalore!O11</f>
        <v>1250000</v>
      </c>
      <c r="P11" s="2">
        <f>Chennai!P11+Mumbai!P11+Pune!P11+Hyderabad!P11+Bangalore!P11</f>
        <v>1250000</v>
      </c>
      <c r="Q11" s="2">
        <f>Chennai!Q11+Mumbai!Q11+Pune!Q11+Hyderabad!Q11+Bangalore!Q11</f>
        <v>1250000</v>
      </c>
      <c r="R11" s="2">
        <f>Chennai!R11+Mumbai!R11+Pune!R11+Hyderabad!R11+Bangalore!R11</f>
        <v>1250000</v>
      </c>
      <c r="S11" s="2">
        <f>Chennai!S11+Mumbai!S11+Pune!S11+Hyderabad!S11+Bangalore!S11</f>
        <v>1250000</v>
      </c>
      <c r="T11" s="2">
        <f>Chennai!T11+Mumbai!T11+Pune!T11+Hyderabad!T11+Bangalore!T11</f>
        <v>1250000</v>
      </c>
      <c r="U11" s="2">
        <f>Chennai!U11+Mumbai!U11+Pune!U11+Hyderabad!U11+Bangalore!U11</f>
        <v>1250000</v>
      </c>
      <c r="V11" s="2">
        <f>Chennai!V11+Mumbai!V11+Pune!V11+Hyderabad!V11+Bangalore!V11</f>
        <v>1250000</v>
      </c>
      <c r="W11" s="2">
        <f>Chennai!W11+Mumbai!W11+Pune!W11+Hyderabad!W11+Bangalore!W11</f>
        <v>1250000</v>
      </c>
      <c r="X11" s="2">
        <f>Chennai!X11+Mumbai!X11+Pune!X11+Hyderabad!X11+Bangalore!X11</f>
        <v>1250000</v>
      </c>
      <c r="Y11" s="2">
        <f>Chennai!Y11+Mumbai!Y11+Pune!Y11+Hyderabad!Y11+Bangalore!Y11</f>
        <v>1250000</v>
      </c>
      <c r="Z11" s="2">
        <f>Chennai!Z11+Mumbai!Z11+Pune!Z11+Hyderabad!Z11+Bangalore!Z11</f>
        <v>15000000</v>
      </c>
      <c r="AA11" s="2">
        <f>Chennai!AA11+Mumbai!AA11+Pune!AA11+Hyderabad!AA11+Bangalore!AA11</f>
        <v>15000000</v>
      </c>
    </row>
    <row r="12" spans="1:27" x14ac:dyDescent="0.3">
      <c r="A12" s="4" t="s">
        <v>37</v>
      </c>
      <c r="B12" s="2">
        <f>Chennai!B12+Mumbai!B12+Pune!B12+Hyderabad!B12+Bangalore!B12</f>
        <v>500000</v>
      </c>
      <c r="C12" s="2">
        <f>Chennai!C12+Mumbai!C12+Pune!C12+Hyderabad!C12+Bangalore!C12</f>
        <v>500000</v>
      </c>
      <c r="D12" s="2">
        <f>Chennai!D12+Mumbai!D12+Pune!D12+Hyderabad!D12+Bangalore!D12</f>
        <v>500000</v>
      </c>
      <c r="E12" s="2">
        <f>Chennai!E12+Mumbai!E12+Pune!E12+Hyderabad!E12+Bangalore!E12</f>
        <v>500000</v>
      </c>
      <c r="F12" s="2">
        <f>Chennai!F12+Mumbai!F12+Pune!F12+Hyderabad!F12+Bangalore!F12</f>
        <v>500000</v>
      </c>
      <c r="G12" s="2">
        <f>Chennai!G12+Mumbai!G12+Pune!G12+Hyderabad!G12+Bangalore!G12</f>
        <v>500000</v>
      </c>
      <c r="H12" s="2">
        <f>Chennai!H12+Mumbai!H12+Pune!H12+Hyderabad!H12+Bangalore!H12</f>
        <v>500000</v>
      </c>
      <c r="I12" s="2">
        <f>Chennai!I12+Mumbai!I12+Pune!I12+Hyderabad!I12+Bangalore!I12</f>
        <v>500000</v>
      </c>
      <c r="J12" s="2">
        <f>Chennai!J12+Mumbai!J12+Pune!J12+Hyderabad!J12+Bangalore!J12</f>
        <v>500000</v>
      </c>
      <c r="K12" s="2">
        <f>Chennai!K12+Mumbai!K12+Pune!K12+Hyderabad!K12+Bangalore!K12</f>
        <v>500000</v>
      </c>
      <c r="L12" s="2">
        <f>Chennai!L12+Mumbai!L12+Pune!L12+Hyderabad!L12+Bangalore!L12</f>
        <v>500000</v>
      </c>
      <c r="M12" s="2">
        <f>Chennai!M12+Mumbai!M12+Pune!M12+Hyderabad!M12+Bangalore!M12</f>
        <v>500000</v>
      </c>
      <c r="N12" s="2">
        <f>Chennai!N12+Mumbai!N12+Pune!N12+Hyderabad!N12+Bangalore!N12</f>
        <v>500000</v>
      </c>
      <c r="O12" s="2">
        <f>Chennai!O12+Mumbai!O12+Pune!O12+Hyderabad!O12+Bangalore!O12</f>
        <v>500000</v>
      </c>
      <c r="P12" s="2">
        <f>Chennai!P12+Mumbai!P12+Pune!P12+Hyderabad!P12+Bangalore!P12</f>
        <v>500000</v>
      </c>
      <c r="Q12" s="2">
        <f>Chennai!Q12+Mumbai!Q12+Pune!Q12+Hyderabad!Q12+Bangalore!Q12</f>
        <v>500000</v>
      </c>
      <c r="R12" s="2">
        <f>Chennai!R12+Mumbai!R12+Pune!R12+Hyderabad!R12+Bangalore!R12</f>
        <v>500000</v>
      </c>
      <c r="S12" s="2">
        <f>Chennai!S12+Mumbai!S12+Pune!S12+Hyderabad!S12+Bangalore!S12</f>
        <v>500000</v>
      </c>
      <c r="T12" s="2">
        <f>Chennai!T12+Mumbai!T12+Pune!T12+Hyderabad!T12+Bangalore!T12</f>
        <v>500000</v>
      </c>
      <c r="U12" s="2">
        <f>Chennai!U12+Mumbai!U12+Pune!U12+Hyderabad!U12+Bangalore!U12</f>
        <v>500000</v>
      </c>
      <c r="V12" s="2">
        <f>Chennai!V12+Mumbai!V12+Pune!V12+Hyderabad!V12+Bangalore!V12</f>
        <v>500000</v>
      </c>
      <c r="W12" s="2">
        <f>Chennai!W12+Mumbai!W12+Pune!W12+Hyderabad!W12+Bangalore!W12</f>
        <v>500000</v>
      </c>
      <c r="X12" s="2">
        <f>Chennai!X12+Mumbai!X12+Pune!X12+Hyderabad!X12+Bangalore!X12</f>
        <v>500000</v>
      </c>
      <c r="Y12" s="2">
        <f>Chennai!Y12+Mumbai!Y12+Pune!Y12+Hyderabad!Y12+Bangalore!Y12</f>
        <v>500000</v>
      </c>
      <c r="Z12" s="2">
        <f>Chennai!Z12+Mumbai!Z12+Pune!Z12+Hyderabad!Z12+Bangalore!Z12</f>
        <v>6000000</v>
      </c>
      <c r="AA12" s="2">
        <f>Chennai!AA12+Mumbai!AA12+Pune!AA12+Hyderabad!AA12+Bangalore!AA12</f>
        <v>6000000</v>
      </c>
    </row>
    <row r="13" spans="1:27" x14ac:dyDescent="0.3">
      <c r="A13" s="9" t="s">
        <v>38</v>
      </c>
      <c r="B13" s="10">
        <f>B10-B11-B12</f>
        <v>8539000</v>
      </c>
      <c r="C13" s="10">
        <f t="shared" ref="C13:AA13" si="2">C10-C11-C12</f>
        <v>7876870</v>
      </c>
      <c r="D13" s="10">
        <f t="shared" si="2"/>
        <v>8794780</v>
      </c>
      <c r="E13" s="10">
        <f t="shared" si="2"/>
        <v>8627062</v>
      </c>
      <c r="F13" s="10">
        <f t="shared" si="2"/>
        <v>9050560</v>
      </c>
      <c r="G13" s="10">
        <f t="shared" si="2"/>
        <v>7326729</v>
      </c>
      <c r="H13" s="10">
        <f t="shared" si="2"/>
        <v>8922670</v>
      </c>
      <c r="I13" s="10">
        <f t="shared" si="2"/>
        <v>9009621</v>
      </c>
      <c r="J13" s="10">
        <f t="shared" si="2"/>
        <v>9306340</v>
      </c>
      <c r="K13" s="10">
        <f t="shared" si="2"/>
        <v>8076920</v>
      </c>
      <c r="L13" s="10">
        <f t="shared" si="2"/>
        <v>9562120</v>
      </c>
      <c r="M13" s="10">
        <f t="shared" si="2"/>
        <v>8847019</v>
      </c>
      <c r="N13" s="10">
        <f t="shared" si="2"/>
        <v>9817900</v>
      </c>
      <c r="O13" s="10">
        <f t="shared" si="2"/>
        <v>9637027</v>
      </c>
      <c r="P13" s="10">
        <f t="shared" si="2"/>
        <v>10073680</v>
      </c>
      <c r="Q13" s="10">
        <f t="shared" si="2"/>
        <v>8217247</v>
      </c>
      <c r="R13" s="10">
        <f t="shared" si="2"/>
        <v>9945790</v>
      </c>
      <c r="S13" s="10">
        <f t="shared" si="2"/>
        <v>10039495</v>
      </c>
      <c r="T13" s="10">
        <f t="shared" si="2"/>
        <v>10585240</v>
      </c>
      <c r="U13" s="10">
        <f t="shared" si="2"/>
        <v>9817169</v>
      </c>
      <c r="V13" s="10">
        <f t="shared" si="2"/>
        <v>11096800</v>
      </c>
      <c r="W13" s="10">
        <f t="shared" si="2"/>
        <v>11496724</v>
      </c>
      <c r="X13" s="10">
        <f t="shared" si="2"/>
        <v>12119920</v>
      </c>
      <c r="Y13" s="10">
        <f t="shared" si="2"/>
        <v>9998281</v>
      </c>
      <c r="Z13" s="10">
        <f t="shared" si="2"/>
        <v>117814800</v>
      </c>
      <c r="AA13" s="10">
        <f t="shared" si="2"/>
        <v>108970164</v>
      </c>
    </row>
    <row r="14" spans="1:27" x14ac:dyDescent="0.3">
      <c r="A14" s="4" t="s">
        <v>39</v>
      </c>
      <c r="B14" s="2">
        <f>Chennai!B14+Mumbai!B14+Pune!B14+Hyderabad!B14+Bangalore!B14</f>
        <v>2134750</v>
      </c>
      <c r="C14" s="2">
        <f>Chennai!C14+Mumbai!C14+Pune!C14+Hyderabad!C14+Bangalore!C14</f>
        <v>1969218</v>
      </c>
      <c r="D14" s="2">
        <f>Chennai!D14+Mumbai!D14+Pune!D14+Hyderabad!D14+Bangalore!D14</f>
        <v>2198695</v>
      </c>
      <c r="E14" s="2">
        <f>Chennai!E14+Mumbai!E14+Pune!E14+Hyderabad!E14+Bangalore!E14</f>
        <v>2156765</v>
      </c>
      <c r="F14" s="2">
        <f>Chennai!F14+Mumbai!F14+Pune!F14+Hyderabad!F14+Bangalore!F14</f>
        <v>2262640</v>
      </c>
      <c r="G14" s="2">
        <f>Chennai!G14+Mumbai!G14+Pune!G14+Hyderabad!G14+Bangalore!G14</f>
        <v>1831682</v>
      </c>
      <c r="H14" s="2">
        <f>Chennai!H14+Mumbai!H14+Pune!H14+Hyderabad!H14+Bangalore!H14</f>
        <v>2230668</v>
      </c>
      <c r="I14" s="2">
        <f>Chennai!I14+Mumbai!I14+Pune!I14+Hyderabad!I14+Bangalore!I14</f>
        <v>2252405</v>
      </c>
      <c r="J14" s="2">
        <f>Chennai!J14+Mumbai!J14+Pune!J14+Hyderabad!J14+Bangalore!J14</f>
        <v>2326585</v>
      </c>
      <c r="K14" s="2">
        <f>Chennai!K14+Mumbai!K14+Pune!K14+Hyderabad!K14+Bangalore!K14</f>
        <v>2019231</v>
      </c>
      <c r="L14" s="2">
        <f>Chennai!L14+Mumbai!L14+Pune!L14+Hyderabad!L14+Bangalore!L14</f>
        <v>2390530</v>
      </c>
      <c r="M14" s="2">
        <f>Chennai!M14+Mumbai!M14+Pune!M14+Hyderabad!M14+Bangalore!M14</f>
        <v>2211755</v>
      </c>
      <c r="N14" s="2">
        <f>Chennai!N14+Mumbai!N14+Pune!N14+Hyderabad!N14+Bangalore!N14</f>
        <v>2454475</v>
      </c>
      <c r="O14" s="2">
        <f>Chennai!O14+Mumbai!O14+Pune!O14+Hyderabad!O14+Bangalore!O14</f>
        <v>2409257</v>
      </c>
      <c r="P14" s="2">
        <f>Chennai!P14+Mumbai!P14+Pune!P14+Hyderabad!P14+Bangalore!P14</f>
        <v>2518420</v>
      </c>
      <c r="Q14" s="2">
        <f>Chennai!Q14+Mumbai!Q14+Pune!Q14+Hyderabad!Q14+Bangalore!Q14</f>
        <v>2054312</v>
      </c>
      <c r="R14" s="2">
        <f>Chennai!R14+Mumbai!R14+Pune!R14+Hyderabad!R14+Bangalore!R14</f>
        <v>2486448</v>
      </c>
      <c r="S14" s="2">
        <f>Chennai!S14+Mumbai!S14+Pune!S14+Hyderabad!S14+Bangalore!S14</f>
        <v>2509873</v>
      </c>
      <c r="T14" s="2">
        <f>Chennai!T14+Mumbai!T14+Pune!T14+Hyderabad!T14+Bangalore!T14</f>
        <v>2646310</v>
      </c>
      <c r="U14" s="2">
        <f>Chennai!U14+Mumbai!U14+Pune!U14+Hyderabad!U14+Bangalore!U14</f>
        <v>2454291</v>
      </c>
      <c r="V14" s="2">
        <f>Chennai!V14+Mumbai!V14+Pune!V14+Hyderabad!V14+Bangalore!V14</f>
        <v>2774200</v>
      </c>
      <c r="W14" s="2">
        <f>Chennai!W14+Mumbai!W14+Pune!W14+Hyderabad!W14+Bangalore!W14</f>
        <v>2874181</v>
      </c>
      <c r="X14" s="2">
        <f>Chennai!X14+Mumbai!X14+Pune!X14+Hyderabad!X14+Bangalore!X14</f>
        <v>3029980</v>
      </c>
      <c r="Y14" s="2">
        <f>Chennai!Y14+Mumbai!Y14+Pune!Y14+Hyderabad!Y14+Bangalore!Y14</f>
        <v>2499571</v>
      </c>
      <c r="Z14" s="2">
        <f>Chennai!Z14+Mumbai!Z14+Pune!Z14+Hyderabad!Z14+Bangalore!Z14</f>
        <v>29453701</v>
      </c>
      <c r="AA14" s="2">
        <f>Chennai!AA14+Mumbai!AA14+Pune!AA14+Hyderabad!AA14+Bangalore!AA14</f>
        <v>27242541</v>
      </c>
    </row>
    <row r="15" spans="1:27" x14ac:dyDescent="0.3">
      <c r="A15" s="11" t="s">
        <v>40</v>
      </c>
      <c r="B15" s="12">
        <f>B13-B14</f>
        <v>6404250</v>
      </c>
      <c r="C15" s="12">
        <f t="shared" ref="C15:AA15" si="3">C13-C14</f>
        <v>5907652</v>
      </c>
      <c r="D15" s="12">
        <f t="shared" si="3"/>
        <v>6596085</v>
      </c>
      <c r="E15" s="12">
        <f t="shared" si="3"/>
        <v>6470297</v>
      </c>
      <c r="F15" s="12">
        <f t="shared" si="3"/>
        <v>6787920</v>
      </c>
      <c r="G15" s="12">
        <f t="shared" si="3"/>
        <v>5495047</v>
      </c>
      <c r="H15" s="12">
        <f t="shared" si="3"/>
        <v>6692002</v>
      </c>
      <c r="I15" s="12">
        <f t="shared" si="3"/>
        <v>6757216</v>
      </c>
      <c r="J15" s="12">
        <f t="shared" si="3"/>
        <v>6979755</v>
      </c>
      <c r="K15" s="12">
        <f t="shared" si="3"/>
        <v>6057689</v>
      </c>
      <c r="L15" s="12">
        <f t="shared" si="3"/>
        <v>7171590</v>
      </c>
      <c r="M15" s="12">
        <f t="shared" si="3"/>
        <v>6635264</v>
      </c>
      <c r="N15" s="12">
        <f t="shared" si="3"/>
        <v>7363425</v>
      </c>
      <c r="O15" s="12">
        <f t="shared" si="3"/>
        <v>7227770</v>
      </c>
      <c r="P15" s="12">
        <f t="shared" si="3"/>
        <v>7555260</v>
      </c>
      <c r="Q15" s="12">
        <f t="shared" si="3"/>
        <v>6162935</v>
      </c>
      <c r="R15" s="12">
        <f t="shared" si="3"/>
        <v>7459342</v>
      </c>
      <c r="S15" s="12">
        <f t="shared" si="3"/>
        <v>7529622</v>
      </c>
      <c r="T15" s="12">
        <f t="shared" si="3"/>
        <v>7938930</v>
      </c>
      <c r="U15" s="12">
        <f t="shared" si="3"/>
        <v>7362878</v>
      </c>
      <c r="V15" s="12">
        <f t="shared" si="3"/>
        <v>8322600</v>
      </c>
      <c r="W15" s="12">
        <f t="shared" si="3"/>
        <v>8622543</v>
      </c>
      <c r="X15" s="12">
        <f t="shared" si="3"/>
        <v>9089940</v>
      </c>
      <c r="Y15" s="12">
        <f t="shared" si="3"/>
        <v>7498710</v>
      </c>
      <c r="Z15" s="12">
        <f t="shared" si="3"/>
        <v>88361099</v>
      </c>
      <c r="AA15" s="12">
        <f t="shared" si="3"/>
        <v>81727623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4538-69D8-4CA4-9B1E-DFD5F4FFAFFE}">
  <dimension ref="A1:H106"/>
  <sheetViews>
    <sheetView topLeftCell="A80" workbookViewId="0">
      <selection activeCell="A77" sqref="A77:H77"/>
    </sheetView>
  </sheetViews>
  <sheetFormatPr defaultRowHeight="14.4" outlineLevelCol="1" x14ac:dyDescent="0.3"/>
  <cols>
    <col min="1" max="1" width="27.77734375" customWidth="1"/>
    <col min="2" max="6" width="17.5546875" customWidth="1"/>
    <col min="7" max="7" width="17.5546875" customWidth="1" outlineLevel="1"/>
    <col min="8" max="8" width="8.88671875" outlineLevel="1"/>
  </cols>
  <sheetData>
    <row r="1" spans="1:7" ht="19.8" x14ac:dyDescent="0.4">
      <c r="A1" s="13" t="s">
        <v>49</v>
      </c>
    </row>
    <row r="2" spans="1:7" x14ac:dyDescent="0.3">
      <c r="A2" s="14" t="s">
        <v>50</v>
      </c>
    </row>
    <row r="4" spans="1:7" ht="15.6" x14ac:dyDescent="0.3">
      <c r="A4" s="15" t="s">
        <v>51</v>
      </c>
    </row>
    <row r="5" spans="1:7" x14ac:dyDescent="0.3">
      <c r="A5" s="16" t="s">
        <v>0</v>
      </c>
      <c r="B5" s="16" t="s">
        <v>25</v>
      </c>
      <c r="C5" s="16" t="s">
        <v>26</v>
      </c>
      <c r="D5" s="16" t="s">
        <v>52</v>
      </c>
      <c r="E5" s="16" t="s">
        <v>53</v>
      </c>
      <c r="F5" s="16" t="s">
        <v>54</v>
      </c>
      <c r="G5" s="16" t="s">
        <v>55</v>
      </c>
    </row>
    <row r="6" spans="1:7" x14ac:dyDescent="0.3">
      <c r="A6" t="s">
        <v>27</v>
      </c>
      <c r="B6" s="2">
        <f>Summary!Z2</f>
        <v>831600000</v>
      </c>
      <c r="C6" s="2">
        <f>Summary!AA2</f>
        <v>831335400</v>
      </c>
      <c r="D6" s="2">
        <f>C6-B6</f>
        <v>-264600</v>
      </c>
      <c r="E6" s="17">
        <f>D6/B6</f>
        <v>-3.181818181818182E-4</v>
      </c>
      <c r="F6" t="s">
        <v>56</v>
      </c>
      <c r="G6" t="str">
        <f>IF(F6="Cost",IF(D6&lt;=0,"Favourable","Unfavourable"),IF(D6&gt;=0,"Favourable","Unfavourable"))</f>
        <v>Unfavourable</v>
      </c>
    </row>
    <row r="7" spans="1:7" x14ac:dyDescent="0.3">
      <c r="A7" t="s">
        <v>28</v>
      </c>
      <c r="B7" s="2">
        <f>Summary!Z3</f>
        <v>498960000</v>
      </c>
      <c r="C7" s="2">
        <f>Summary!AA3</f>
        <v>502957918</v>
      </c>
      <c r="D7" s="2">
        <f t="shared" ref="D7:D19" si="0">C7-B7</f>
        <v>3997918</v>
      </c>
      <c r="E7" s="17">
        <f t="shared" ref="E7:E19" si="1">D7/B7</f>
        <v>8.0125020041686701E-3</v>
      </c>
      <c r="F7" t="s">
        <v>57</v>
      </c>
      <c r="G7" t="str">
        <f t="shared" ref="G7:G19" si="2">IF(F7="Cost",IF(D7&lt;=0,"Favourable","Unfavourable"),IF(D7&gt;=0,"Favourable","Unfavourable"))</f>
        <v>Unfavourable</v>
      </c>
    </row>
    <row r="8" spans="1:7" x14ac:dyDescent="0.3">
      <c r="A8" s="5" t="s">
        <v>29</v>
      </c>
      <c r="B8" s="6">
        <f>Summary!Z4</f>
        <v>332640000</v>
      </c>
      <c r="C8" s="6">
        <f>Summary!AA4</f>
        <v>328377482</v>
      </c>
      <c r="D8" s="6">
        <f t="shared" si="0"/>
        <v>-4262518</v>
      </c>
      <c r="E8" s="19">
        <f t="shared" si="1"/>
        <v>-1.2814207551707552E-2</v>
      </c>
      <c r="F8" s="5" t="s">
        <v>56</v>
      </c>
      <c r="G8" s="5" t="str">
        <f t="shared" si="2"/>
        <v>Unfavourable</v>
      </c>
    </row>
    <row r="9" spans="1:7" x14ac:dyDescent="0.3">
      <c r="A9" t="s">
        <v>30</v>
      </c>
      <c r="B9" s="2">
        <f>Summary!Z5</f>
        <v>99792000</v>
      </c>
      <c r="C9" s="2">
        <f>Summary!AA5</f>
        <v>101787840</v>
      </c>
      <c r="D9" s="2">
        <f t="shared" si="0"/>
        <v>1995840</v>
      </c>
      <c r="E9" s="17">
        <f t="shared" si="1"/>
        <v>0.02</v>
      </c>
      <c r="F9" t="s">
        <v>57</v>
      </c>
      <c r="G9" t="str">
        <f t="shared" si="2"/>
        <v>Unfavourable</v>
      </c>
    </row>
    <row r="10" spans="1:7" x14ac:dyDescent="0.3">
      <c r="A10" t="s">
        <v>31</v>
      </c>
      <c r="B10" s="2">
        <f>Summary!Z6</f>
        <v>30000000</v>
      </c>
      <c r="C10" s="2">
        <f>Summary!AA6</f>
        <v>30000000</v>
      </c>
      <c r="D10" s="2">
        <f t="shared" si="0"/>
        <v>0</v>
      </c>
      <c r="E10" s="17">
        <f t="shared" si="1"/>
        <v>0</v>
      </c>
      <c r="F10" t="s">
        <v>57</v>
      </c>
      <c r="G10" t="str">
        <f t="shared" si="2"/>
        <v>Favourable</v>
      </c>
    </row>
    <row r="11" spans="1:7" x14ac:dyDescent="0.3">
      <c r="A11" t="s">
        <v>32</v>
      </c>
      <c r="B11" s="2">
        <f>Summary!Z7</f>
        <v>9979200</v>
      </c>
      <c r="C11" s="2">
        <f>Summary!AA7</f>
        <v>10278577</v>
      </c>
      <c r="D11" s="2">
        <f t="shared" si="0"/>
        <v>299377</v>
      </c>
      <c r="E11" s="17">
        <f t="shared" si="1"/>
        <v>3.0000100208433543E-2</v>
      </c>
      <c r="F11" t="s">
        <v>57</v>
      </c>
      <c r="G11" t="str">
        <f t="shared" si="2"/>
        <v>Unfavourable</v>
      </c>
    </row>
    <row r="12" spans="1:7" x14ac:dyDescent="0.3">
      <c r="A12" t="s">
        <v>33</v>
      </c>
      <c r="B12" s="2">
        <f>Summary!Z8</f>
        <v>33264000</v>
      </c>
      <c r="C12" s="2">
        <f>Summary!AA8</f>
        <v>34927200</v>
      </c>
      <c r="D12" s="2">
        <f t="shared" si="0"/>
        <v>1663200</v>
      </c>
      <c r="E12" s="17">
        <f t="shared" si="1"/>
        <v>0.05</v>
      </c>
      <c r="F12" t="s">
        <v>57</v>
      </c>
      <c r="G12" t="str">
        <f t="shared" si="2"/>
        <v>Unfavourable</v>
      </c>
    </row>
    <row r="13" spans="1:7" x14ac:dyDescent="0.3">
      <c r="A13" t="s">
        <v>34</v>
      </c>
      <c r="B13" s="2">
        <f>Summary!Z9</f>
        <v>20790000</v>
      </c>
      <c r="C13" s="2">
        <f>Summary!AA9</f>
        <v>21413701</v>
      </c>
      <c r="D13" s="2">
        <f t="shared" si="0"/>
        <v>623701</v>
      </c>
      <c r="E13" s="17">
        <f t="shared" si="1"/>
        <v>3.00000481000481E-2</v>
      </c>
      <c r="F13" t="s">
        <v>57</v>
      </c>
      <c r="G13" t="str">
        <f t="shared" si="2"/>
        <v>Unfavourable</v>
      </c>
    </row>
    <row r="14" spans="1:7" x14ac:dyDescent="0.3">
      <c r="A14" s="7" t="s">
        <v>35</v>
      </c>
      <c r="B14" s="8">
        <f>Summary!Z10</f>
        <v>138814800</v>
      </c>
      <c r="C14" s="8">
        <f>Summary!AA10</f>
        <v>129970164</v>
      </c>
      <c r="D14" s="8">
        <f t="shared" si="0"/>
        <v>-8844636</v>
      </c>
      <c r="E14" s="20">
        <f t="shared" si="1"/>
        <v>-6.3715367525652891E-2</v>
      </c>
      <c r="F14" s="7" t="s">
        <v>56</v>
      </c>
      <c r="G14" s="7" t="str">
        <f t="shared" si="2"/>
        <v>Unfavourable</v>
      </c>
    </row>
    <row r="15" spans="1:7" x14ac:dyDescent="0.3">
      <c r="A15" t="s">
        <v>36</v>
      </c>
      <c r="B15" s="2">
        <f>Summary!Z11</f>
        <v>15000000</v>
      </c>
      <c r="C15" s="2">
        <f>Summary!AA11</f>
        <v>15000000</v>
      </c>
      <c r="D15" s="2">
        <f t="shared" si="0"/>
        <v>0</v>
      </c>
      <c r="E15" s="17">
        <f t="shared" si="1"/>
        <v>0</v>
      </c>
      <c r="F15" t="s">
        <v>57</v>
      </c>
      <c r="G15" t="str">
        <f t="shared" si="2"/>
        <v>Favourable</v>
      </c>
    </row>
    <row r="16" spans="1:7" x14ac:dyDescent="0.3">
      <c r="A16" t="s">
        <v>37</v>
      </c>
      <c r="B16" s="2">
        <f>Summary!Z12</f>
        <v>6000000</v>
      </c>
      <c r="C16" s="2">
        <f>Summary!AA12</f>
        <v>6000000</v>
      </c>
      <c r="D16" s="2">
        <f t="shared" si="0"/>
        <v>0</v>
      </c>
      <c r="E16" s="17">
        <f t="shared" si="1"/>
        <v>0</v>
      </c>
      <c r="F16" t="s">
        <v>57</v>
      </c>
      <c r="G16" t="str">
        <f t="shared" si="2"/>
        <v>Favourable</v>
      </c>
    </row>
    <row r="17" spans="1:7" x14ac:dyDescent="0.3">
      <c r="A17" s="9" t="s">
        <v>38</v>
      </c>
      <c r="B17" s="10">
        <f>Summary!Z13</f>
        <v>117814800</v>
      </c>
      <c r="C17" s="10">
        <f>Summary!AA13</f>
        <v>108970164</v>
      </c>
      <c r="D17" s="10">
        <f t="shared" si="0"/>
        <v>-8844636</v>
      </c>
      <c r="E17" s="21">
        <f t="shared" si="1"/>
        <v>-7.5072367817965141E-2</v>
      </c>
      <c r="F17" s="9" t="s">
        <v>56</v>
      </c>
      <c r="G17" s="9" t="str">
        <f t="shared" si="2"/>
        <v>Unfavourable</v>
      </c>
    </row>
    <row r="18" spans="1:7" x14ac:dyDescent="0.3">
      <c r="A18" t="s">
        <v>39</v>
      </c>
      <c r="B18" s="2">
        <f>Summary!Z14</f>
        <v>29453701</v>
      </c>
      <c r="C18" s="2">
        <f>Summary!AA14</f>
        <v>27242541</v>
      </c>
      <c r="D18" s="2">
        <f t="shared" si="0"/>
        <v>-2211160</v>
      </c>
      <c r="E18" s="17">
        <f t="shared" si="1"/>
        <v>-7.5072399220729516E-2</v>
      </c>
      <c r="F18" t="s">
        <v>57</v>
      </c>
      <c r="G18" t="str">
        <f t="shared" si="2"/>
        <v>Favourable</v>
      </c>
    </row>
    <row r="19" spans="1:7" x14ac:dyDescent="0.3">
      <c r="A19" s="11" t="s">
        <v>40</v>
      </c>
      <c r="B19" s="12">
        <f>Summary!Z15</f>
        <v>88361099</v>
      </c>
      <c r="C19" s="12">
        <f>Summary!AA15</f>
        <v>81727623</v>
      </c>
      <c r="D19" s="12">
        <f t="shared" si="0"/>
        <v>-6633476</v>
      </c>
      <c r="E19" s="22">
        <f t="shared" si="1"/>
        <v>-7.5072357350376553E-2</v>
      </c>
      <c r="F19" s="11" t="s">
        <v>56</v>
      </c>
      <c r="G19" s="11" t="str">
        <f t="shared" si="2"/>
        <v>Unfavourable</v>
      </c>
    </row>
    <row r="22" spans="1:7" ht="15.6" x14ac:dyDescent="0.3">
      <c r="A22" s="15" t="s">
        <v>58</v>
      </c>
    </row>
    <row r="23" spans="1:7" x14ac:dyDescent="0.3">
      <c r="A23" s="16" t="s">
        <v>59</v>
      </c>
      <c r="B23" s="16" t="s">
        <v>60</v>
      </c>
      <c r="C23" s="16" t="s">
        <v>61</v>
      </c>
      <c r="D23" s="16" t="s">
        <v>52</v>
      </c>
      <c r="E23" s="16" t="s">
        <v>53</v>
      </c>
    </row>
    <row r="24" spans="1:7" x14ac:dyDescent="0.3">
      <c r="A24" t="s">
        <v>62</v>
      </c>
      <c r="B24" s="2">
        <f>Chennai!Z15</f>
        <v>17471251</v>
      </c>
      <c r="C24" s="2">
        <f>Chennai!AA15</f>
        <v>16155086</v>
      </c>
      <c r="D24" s="2">
        <f>C24-B24</f>
        <v>-1316165</v>
      </c>
      <c r="E24" s="17">
        <f>D24/B24</f>
        <v>-7.5333185929273183E-2</v>
      </c>
    </row>
    <row r="25" spans="1:7" x14ac:dyDescent="0.3">
      <c r="A25" t="s">
        <v>63</v>
      </c>
      <c r="B25" s="2">
        <f>Mumbai!Z15</f>
        <v>23500349</v>
      </c>
      <c r="C25" s="2">
        <f>Mumbai!AA15</f>
        <v>21868305</v>
      </c>
      <c r="D25" s="2">
        <f>C25-B25</f>
        <v>-1632044</v>
      </c>
      <c r="E25" s="17">
        <f>D25/B25</f>
        <v>-6.9447649479588577E-2</v>
      </c>
    </row>
    <row r="26" spans="1:7" x14ac:dyDescent="0.3">
      <c r="A26" t="s">
        <v>64</v>
      </c>
      <c r="B26" s="2">
        <f>Pune!Z15</f>
        <v>11442149</v>
      </c>
      <c r="C26" s="2">
        <f>Pune!AA15</f>
        <v>10441862</v>
      </c>
      <c r="D26" s="2">
        <f>C26-B26</f>
        <v>-1000287</v>
      </c>
      <c r="E26" s="17">
        <f>D26/B26</f>
        <v>-8.7421252773408217E-2</v>
      </c>
    </row>
    <row r="27" spans="1:7" x14ac:dyDescent="0.3">
      <c r="A27" t="s">
        <v>65</v>
      </c>
      <c r="B27" s="2">
        <f>Hyderabad!Z15</f>
        <v>14456699</v>
      </c>
      <c r="C27" s="2">
        <f>Hyderabad!AA15</f>
        <v>13298470</v>
      </c>
      <c r="D27" s="2">
        <f>C27-B27</f>
        <v>-1158229</v>
      </c>
      <c r="E27" s="17">
        <f>D27/B27</f>
        <v>-8.0117113872260878E-2</v>
      </c>
    </row>
    <row r="28" spans="1:7" x14ac:dyDescent="0.3">
      <c r="A28" t="s">
        <v>66</v>
      </c>
      <c r="B28" s="2">
        <f>Bangalore!Z15</f>
        <v>21490651</v>
      </c>
      <c r="C28" s="2">
        <f>Bangalore!AA15</f>
        <v>19963900</v>
      </c>
      <c r="D28" s="2">
        <f>C28-B28</f>
        <v>-1526751</v>
      </c>
      <c r="E28" s="17">
        <f>D28/B28</f>
        <v>-7.1042566369906621E-2</v>
      </c>
    </row>
    <row r="29" spans="1:7" x14ac:dyDescent="0.3">
      <c r="A29" s="5" t="s">
        <v>67</v>
      </c>
      <c r="B29" s="6">
        <f>SUM(B24:B28)</f>
        <v>88361099</v>
      </c>
      <c r="C29" s="6">
        <f>SUM(C24:C28)</f>
        <v>81727623</v>
      </c>
      <c r="D29" s="6">
        <f>C29-B29</f>
        <v>-6633476</v>
      </c>
      <c r="E29" s="19">
        <f>D29/B29</f>
        <v>-7.5072357350376553E-2</v>
      </c>
    </row>
    <row r="32" spans="1:7" ht="15.6" x14ac:dyDescent="0.3">
      <c r="A32" s="15" t="s">
        <v>68</v>
      </c>
    </row>
    <row r="33" spans="1:5" x14ac:dyDescent="0.3">
      <c r="A33" s="16" t="s">
        <v>59</v>
      </c>
      <c r="B33" s="16" t="s">
        <v>69</v>
      </c>
      <c r="C33" s="16" t="s">
        <v>70</v>
      </c>
      <c r="D33" s="16" t="s">
        <v>52</v>
      </c>
      <c r="E33" s="16" t="s">
        <v>53</v>
      </c>
    </row>
    <row r="34" spans="1:5" x14ac:dyDescent="0.3">
      <c r="A34" t="s">
        <v>62</v>
      </c>
      <c r="B34" s="2">
        <f>Chennai!Z2</f>
        <v>165000000</v>
      </c>
      <c r="C34" s="2">
        <f>Chennai!AA2</f>
        <v>164947500</v>
      </c>
      <c r="D34" s="2">
        <f>C34-B34</f>
        <v>-52500</v>
      </c>
      <c r="E34" s="17">
        <f>D34/B34</f>
        <v>-3.181818181818182E-4</v>
      </c>
    </row>
    <row r="35" spans="1:5" x14ac:dyDescent="0.3">
      <c r="A35" t="s">
        <v>63</v>
      </c>
      <c r="B35" s="2">
        <f>Mumbai!Z2</f>
        <v>204600000</v>
      </c>
      <c r="C35" s="2">
        <f>Mumbai!AA2</f>
        <v>204534900</v>
      </c>
      <c r="D35" s="2">
        <f>C35-B35</f>
        <v>-65100</v>
      </c>
      <c r="E35" s="17">
        <f>D35/B35</f>
        <v>-3.181818181818182E-4</v>
      </c>
    </row>
    <row r="36" spans="1:5" x14ac:dyDescent="0.3">
      <c r="A36" t="s">
        <v>64</v>
      </c>
      <c r="B36" s="2">
        <f>Pune!Z2</f>
        <v>125400000</v>
      </c>
      <c r="C36" s="2">
        <f>Pune!AA2</f>
        <v>125360100</v>
      </c>
      <c r="D36" s="2">
        <f>C36-B36</f>
        <v>-39900</v>
      </c>
      <c r="E36" s="17">
        <f>D36/B36</f>
        <v>-3.181818181818182E-4</v>
      </c>
    </row>
    <row r="37" spans="1:5" x14ac:dyDescent="0.3">
      <c r="A37" t="s">
        <v>65</v>
      </c>
      <c r="B37" s="2">
        <f>Hyderabad!Z2</f>
        <v>145200000</v>
      </c>
      <c r="C37" s="2">
        <f>Hyderabad!AA2</f>
        <v>145153800</v>
      </c>
      <c r="D37" s="2">
        <f>C37-B37</f>
        <v>-46200</v>
      </c>
      <c r="E37" s="17">
        <f>D37/B37</f>
        <v>-3.181818181818182E-4</v>
      </c>
    </row>
    <row r="38" spans="1:5" x14ac:dyDescent="0.3">
      <c r="A38" t="s">
        <v>66</v>
      </c>
      <c r="B38" s="2">
        <f>Bangalore!Z2</f>
        <v>191400000</v>
      </c>
      <c r="C38" s="2">
        <f>Bangalore!AA2</f>
        <v>191339100</v>
      </c>
      <c r="D38" s="2">
        <f>C38-B38</f>
        <v>-60900</v>
      </c>
      <c r="E38" s="17">
        <f>D38/B38</f>
        <v>-3.181818181818182E-4</v>
      </c>
    </row>
    <row r="39" spans="1:5" x14ac:dyDescent="0.3">
      <c r="A39" s="5" t="s">
        <v>67</v>
      </c>
      <c r="B39" s="6">
        <f>SUM(B34:B38)</f>
        <v>831600000</v>
      </c>
      <c r="C39" s="6">
        <f>SUM(C34:C38)</f>
        <v>831335400</v>
      </c>
      <c r="D39" s="6">
        <f>C39-B39</f>
        <v>-264600</v>
      </c>
      <c r="E39" s="19">
        <f>D39/B39</f>
        <v>-3.181818181818182E-4</v>
      </c>
    </row>
    <row r="42" spans="1:5" ht="15.6" x14ac:dyDescent="0.3">
      <c r="A42" s="15" t="s">
        <v>71</v>
      </c>
    </row>
    <row r="43" spans="1:5" x14ac:dyDescent="0.3">
      <c r="A43" s="16" t="s">
        <v>72</v>
      </c>
      <c r="B43" s="16" t="s">
        <v>60</v>
      </c>
      <c r="C43" s="16" t="s">
        <v>61</v>
      </c>
      <c r="D43" s="16" t="s">
        <v>53</v>
      </c>
    </row>
    <row r="44" spans="1:5" x14ac:dyDescent="0.3">
      <c r="A44" t="s">
        <v>73</v>
      </c>
      <c r="B44" s="2">
        <f>Summary!B15</f>
        <v>6404250</v>
      </c>
      <c r="C44" s="2">
        <f>Summary!C15</f>
        <v>5907652</v>
      </c>
      <c r="D44" s="17">
        <f>C44/B44-1</f>
        <v>-7.7541944802279716E-2</v>
      </c>
    </row>
    <row r="45" spans="1:5" x14ac:dyDescent="0.3">
      <c r="A45" t="s">
        <v>74</v>
      </c>
      <c r="B45" s="2">
        <f>Summary!D15</f>
        <v>6596085</v>
      </c>
      <c r="C45" s="2">
        <f>Summary!E15</f>
        <v>6470297</v>
      </c>
      <c r="D45" s="17">
        <f>C45/B45-1</f>
        <v>-1.9070099915328598E-2</v>
      </c>
    </row>
    <row r="46" spans="1:5" x14ac:dyDescent="0.3">
      <c r="A46" t="s">
        <v>75</v>
      </c>
      <c r="B46" s="2">
        <f>Summary!F15</f>
        <v>6787920</v>
      </c>
      <c r="C46" s="2">
        <f>Summary!G15</f>
        <v>5495047</v>
      </c>
      <c r="D46" s="17">
        <f>C46/B46-1</f>
        <v>-0.19046674091621585</v>
      </c>
    </row>
    <row r="47" spans="1:5" x14ac:dyDescent="0.3">
      <c r="A47" t="s">
        <v>76</v>
      </c>
      <c r="B47" s="2">
        <f>Summary!H15</f>
        <v>6692002</v>
      </c>
      <c r="C47" s="2">
        <f>Summary!I15</f>
        <v>6757216</v>
      </c>
      <c r="D47" s="17">
        <f>C47/B47-1</f>
        <v>9.7450658263400491E-3</v>
      </c>
    </row>
    <row r="48" spans="1:5" x14ac:dyDescent="0.3">
      <c r="A48" t="s">
        <v>77</v>
      </c>
      <c r="B48" s="2">
        <f>Summary!J15</f>
        <v>6979755</v>
      </c>
      <c r="C48" s="2">
        <f>Summary!K15</f>
        <v>6057689</v>
      </c>
      <c r="D48" s="17">
        <f>C48/B48-1</f>
        <v>-0.13210578308264398</v>
      </c>
    </row>
    <row r="49" spans="1:4" x14ac:dyDescent="0.3">
      <c r="A49" t="s">
        <v>78</v>
      </c>
      <c r="B49" s="2">
        <f>Summary!L15</f>
        <v>7171590</v>
      </c>
      <c r="C49" s="2">
        <f>Summary!M15</f>
        <v>6635264</v>
      </c>
      <c r="D49" s="17">
        <f>C49/B49-1</f>
        <v>-7.4784810620796782E-2</v>
      </c>
    </row>
    <row r="50" spans="1:4" x14ac:dyDescent="0.3">
      <c r="A50" t="s">
        <v>79</v>
      </c>
      <c r="B50" s="2">
        <f>Summary!N15</f>
        <v>7363425</v>
      </c>
      <c r="C50" s="2">
        <f>Summary!O15</f>
        <v>7227770</v>
      </c>
      <c r="D50" s="17">
        <f>C50/B50-1</f>
        <v>-1.8422812753575935E-2</v>
      </c>
    </row>
    <row r="51" spans="1:4" x14ac:dyDescent="0.3">
      <c r="A51" t="s">
        <v>80</v>
      </c>
      <c r="B51" s="2">
        <f>Summary!P15</f>
        <v>7555260</v>
      </c>
      <c r="C51" s="2">
        <f>Summary!Q15</f>
        <v>6162935</v>
      </c>
      <c r="D51" s="17">
        <f>C51/B51-1</f>
        <v>-0.18428551763936651</v>
      </c>
    </row>
    <row r="52" spans="1:4" x14ac:dyDescent="0.3">
      <c r="A52" t="s">
        <v>81</v>
      </c>
      <c r="B52" s="2">
        <f>Summary!R15</f>
        <v>7459342</v>
      </c>
      <c r="C52" s="2">
        <f>Summary!S15</f>
        <v>7529622</v>
      </c>
      <c r="D52" s="17">
        <f>C52/B52-1</f>
        <v>9.4217425612070915E-3</v>
      </c>
    </row>
    <row r="53" spans="1:4" x14ac:dyDescent="0.3">
      <c r="A53" t="s">
        <v>82</v>
      </c>
      <c r="B53" s="2">
        <f>Summary!T15</f>
        <v>7938930</v>
      </c>
      <c r="C53" s="2">
        <f>Summary!U15</f>
        <v>7362878</v>
      </c>
      <c r="D53" s="17">
        <f>C53/B53-1</f>
        <v>-7.256040801468211E-2</v>
      </c>
    </row>
    <row r="54" spans="1:4" x14ac:dyDescent="0.3">
      <c r="A54" t="s">
        <v>83</v>
      </c>
      <c r="B54" s="2">
        <f>Summary!V15</f>
        <v>8322600</v>
      </c>
      <c r="C54" s="2">
        <f>Summary!W15</f>
        <v>8622543</v>
      </c>
      <c r="D54" s="17">
        <f>C54/B54-1</f>
        <v>3.6039578977723252E-2</v>
      </c>
    </row>
    <row r="55" spans="1:4" x14ac:dyDescent="0.3">
      <c r="A55" t="s">
        <v>84</v>
      </c>
      <c r="B55" s="2">
        <f>Summary!X15</f>
        <v>9089940</v>
      </c>
      <c r="C55" s="2">
        <f>Summary!Y15</f>
        <v>7498710</v>
      </c>
      <c r="D55" s="17">
        <f>C55/B55-1</f>
        <v>-0.17505396075221613</v>
      </c>
    </row>
    <row r="58" spans="1:4" ht="15.6" x14ac:dyDescent="0.3">
      <c r="A58" s="15" t="s">
        <v>85</v>
      </c>
    </row>
    <row r="59" spans="1:4" x14ac:dyDescent="0.3">
      <c r="A59" s="3" t="s">
        <v>86</v>
      </c>
      <c r="B59" s="3" t="s">
        <v>87</v>
      </c>
    </row>
    <row r="60" spans="1:4" x14ac:dyDescent="0.3">
      <c r="A60" t="s">
        <v>28</v>
      </c>
      <c r="B60" s="2">
        <f>D7</f>
        <v>3997918</v>
      </c>
    </row>
    <row r="61" spans="1:4" x14ac:dyDescent="0.3">
      <c r="A61" t="s">
        <v>30</v>
      </c>
      <c r="B61" s="2">
        <f>D9</f>
        <v>1995840</v>
      </c>
    </row>
    <row r="62" spans="1:4" x14ac:dyDescent="0.3">
      <c r="A62" t="s">
        <v>32</v>
      </c>
      <c r="B62" s="2">
        <f>D11</f>
        <v>299377</v>
      </c>
    </row>
    <row r="63" spans="1:4" x14ac:dyDescent="0.3">
      <c r="A63" t="s">
        <v>33</v>
      </c>
      <c r="B63" s="2">
        <f>D12</f>
        <v>1663200</v>
      </c>
    </row>
    <row r="64" spans="1:4" x14ac:dyDescent="0.3">
      <c r="A64" t="s">
        <v>34</v>
      </c>
      <c r="B64" s="2">
        <f>D13</f>
        <v>623701</v>
      </c>
    </row>
    <row r="67" spans="1:8" ht="17.399999999999999" x14ac:dyDescent="0.35">
      <c r="A67" s="23" t="s">
        <v>88</v>
      </c>
    </row>
    <row r="69" spans="1:8" x14ac:dyDescent="0.3">
      <c r="A69" s="24" t="s">
        <v>89</v>
      </c>
    </row>
    <row r="70" spans="1:8" ht="30" customHeight="1" x14ac:dyDescent="0.3">
      <c r="A70" s="25" t="s">
        <v>90</v>
      </c>
      <c r="B70" s="25"/>
      <c r="C70" s="25"/>
      <c r="D70" s="25"/>
      <c r="E70" s="25"/>
      <c r="F70" s="25"/>
      <c r="G70" s="25"/>
      <c r="H70" s="25"/>
    </row>
    <row r="72" spans="1:8" x14ac:dyDescent="0.3">
      <c r="A72" s="24" t="s">
        <v>91</v>
      </c>
    </row>
    <row r="73" spans="1:8" ht="30" customHeight="1" x14ac:dyDescent="0.3">
      <c r="A73" s="25" t="s">
        <v>92</v>
      </c>
      <c r="B73" s="25"/>
      <c r="C73" s="25"/>
      <c r="D73" s="25"/>
      <c r="E73" s="25"/>
      <c r="F73" s="25"/>
      <c r="G73" s="25"/>
      <c r="H73" s="25"/>
    </row>
    <row r="74" spans="1:8" ht="30" customHeight="1" x14ac:dyDescent="0.3">
      <c r="A74" s="25" t="s">
        <v>93</v>
      </c>
      <c r="B74" s="25"/>
      <c r="C74" s="25"/>
      <c r="D74" s="25"/>
      <c r="E74" s="25"/>
      <c r="F74" s="25"/>
      <c r="G74" s="25"/>
      <c r="H74" s="25"/>
    </row>
    <row r="75" spans="1:8" ht="30" customHeight="1" x14ac:dyDescent="0.3">
      <c r="A75" s="25" t="s">
        <v>94</v>
      </c>
      <c r="B75" s="25"/>
      <c r="C75" s="25"/>
      <c r="D75" s="25"/>
      <c r="E75" s="25"/>
      <c r="F75" s="25"/>
      <c r="G75" s="25"/>
      <c r="H75" s="25"/>
    </row>
    <row r="76" spans="1:8" ht="30" customHeight="1" x14ac:dyDescent="0.3">
      <c r="A76" s="25" t="s">
        <v>95</v>
      </c>
      <c r="B76" s="25"/>
      <c r="C76" s="25"/>
      <c r="D76" s="25"/>
      <c r="E76" s="25"/>
      <c r="F76" s="25"/>
      <c r="G76" s="25"/>
      <c r="H76" s="25"/>
    </row>
    <row r="77" spans="1:8" ht="30" customHeight="1" x14ac:dyDescent="0.3">
      <c r="A77" s="25" t="s">
        <v>96</v>
      </c>
      <c r="B77" s="25"/>
      <c r="C77" s="25"/>
      <c r="D77" s="25"/>
      <c r="E77" s="25"/>
      <c r="F77" s="25"/>
      <c r="G77" s="25"/>
      <c r="H77" s="25"/>
    </row>
    <row r="79" spans="1:8" x14ac:dyDescent="0.3">
      <c r="A79" s="24" t="s">
        <v>97</v>
      </c>
    </row>
    <row r="80" spans="1:8" ht="30" customHeight="1" x14ac:dyDescent="0.3">
      <c r="A80" s="25" t="s">
        <v>98</v>
      </c>
      <c r="B80" s="25"/>
      <c r="C80" s="25"/>
      <c r="D80" s="25"/>
      <c r="E80" s="25"/>
      <c r="F80" s="25"/>
      <c r="G80" s="25"/>
      <c r="H80" s="25"/>
    </row>
    <row r="81" spans="1:8" ht="30" customHeight="1" x14ac:dyDescent="0.3">
      <c r="A81" s="25" t="s">
        <v>99</v>
      </c>
      <c r="B81" s="25"/>
      <c r="C81" s="25"/>
      <c r="D81" s="25"/>
      <c r="E81" s="25"/>
      <c r="F81" s="25"/>
      <c r="G81" s="25"/>
      <c r="H81" s="25"/>
    </row>
    <row r="82" spans="1:8" ht="30" customHeight="1" x14ac:dyDescent="0.3">
      <c r="A82" s="25" t="s">
        <v>100</v>
      </c>
      <c r="B82" s="25"/>
      <c r="C82" s="25"/>
      <c r="D82" s="25"/>
      <c r="E82" s="25"/>
      <c r="F82" s="25"/>
      <c r="G82" s="25"/>
      <c r="H82" s="25"/>
    </row>
    <row r="83" spans="1:8" ht="30" customHeight="1" x14ac:dyDescent="0.3">
      <c r="A83" s="25" t="s">
        <v>101</v>
      </c>
      <c r="B83" s="25"/>
      <c r="C83" s="25"/>
      <c r="D83" s="25"/>
      <c r="E83" s="25"/>
      <c r="F83" s="25"/>
      <c r="G83" s="25"/>
      <c r="H83" s="25"/>
    </row>
    <row r="84" spans="1:8" ht="30" customHeight="1" x14ac:dyDescent="0.3">
      <c r="A84" s="25" t="s">
        <v>102</v>
      </c>
      <c r="B84" s="25"/>
      <c r="C84" s="25"/>
      <c r="D84" s="25"/>
      <c r="E84" s="25"/>
      <c r="F84" s="25"/>
      <c r="G84" s="25"/>
      <c r="H84" s="25"/>
    </row>
    <row r="86" spans="1:8" ht="15.6" x14ac:dyDescent="0.3">
      <c r="A86" s="15" t="s">
        <v>103</v>
      </c>
    </row>
    <row r="87" spans="1:8" x14ac:dyDescent="0.3">
      <c r="A87" s="16" t="s">
        <v>104</v>
      </c>
      <c r="B87" s="16" t="s">
        <v>105</v>
      </c>
      <c r="C87" s="16" t="s">
        <v>106</v>
      </c>
      <c r="D87" s="16" t="s">
        <v>107</v>
      </c>
      <c r="E87" s="16" t="s">
        <v>108</v>
      </c>
      <c r="G87" s="14" t="s">
        <v>109</v>
      </c>
      <c r="H87" s="14" t="s">
        <v>110</v>
      </c>
    </row>
    <row r="88" spans="1:8" x14ac:dyDescent="0.3">
      <c r="A88" s="4" t="s">
        <v>60</v>
      </c>
      <c r="B88" s="18">
        <v>0</v>
      </c>
      <c r="C88" s="18">
        <v>0</v>
      </c>
      <c r="D88" s="18">
        <v>0</v>
      </c>
      <c r="E88" s="18">
        <f>B19</f>
        <v>88361099</v>
      </c>
      <c r="G88" s="2">
        <f>B19</f>
        <v>88361099</v>
      </c>
      <c r="H88" s="2">
        <v>0</v>
      </c>
    </row>
    <row r="89" spans="1:8" x14ac:dyDescent="0.3">
      <c r="A89" t="s">
        <v>27</v>
      </c>
      <c r="B89" s="2">
        <f>MIN(G88,G89)</f>
        <v>88096499</v>
      </c>
      <c r="C89" s="2">
        <f>IF(H89&lt;0,-H89,0)</f>
        <v>264600</v>
      </c>
      <c r="D89" s="2">
        <f>IF(H89&gt;0,H89,0)</f>
        <v>0</v>
      </c>
      <c r="E89" s="2">
        <v>0</v>
      </c>
      <c r="G89" s="2">
        <f>G88+H89</f>
        <v>88096499</v>
      </c>
      <c r="H89" s="2">
        <f>D6</f>
        <v>-264600</v>
      </c>
    </row>
    <row r="90" spans="1:8" x14ac:dyDescent="0.3">
      <c r="A90" t="s">
        <v>28</v>
      </c>
      <c r="B90" s="2">
        <f t="shared" ref="B90:B95" si="3">MIN(G89,G90)</f>
        <v>84098581</v>
      </c>
      <c r="C90" s="2">
        <f t="shared" ref="C90:C95" si="4">IF(H90&lt;0,-H90,0)</f>
        <v>3997918</v>
      </c>
      <c r="D90" s="2">
        <f t="shared" ref="D90:D95" si="5">IF(H90&gt;0,H90,0)</f>
        <v>0</v>
      </c>
      <c r="E90" s="2">
        <v>0</v>
      </c>
      <c r="G90" s="2">
        <f t="shared" ref="G90:G95" si="6">G89+H90</f>
        <v>84098581</v>
      </c>
      <c r="H90" s="2">
        <f>-D7</f>
        <v>-3997918</v>
      </c>
    </row>
    <row r="91" spans="1:8" x14ac:dyDescent="0.3">
      <c r="A91" t="s">
        <v>30</v>
      </c>
      <c r="B91" s="2">
        <f t="shared" si="3"/>
        <v>82102741</v>
      </c>
      <c r="C91" s="2">
        <f t="shared" si="4"/>
        <v>1995840</v>
      </c>
      <c r="D91" s="2">
        <f t="shared" si="5"/>
        <v>0</v>
      </c>
      <c r="E91" s="2">
        <v>0</v>
      </c>
      <c r="G91" s="2">
        <f t="shared" si="6"/>
        <v>82102741</v>
      </c>
      <c r="H91" s="2">
        <f>-D9</f>
        <v>-1995840</v>
      </c>
    </row>
    <row r="92" spans="1:8" x14ac:dyDescent="0.3">
      <c r="A92" t="s">
        <v>33</v>
      </c>
      <c r="B92" s="2">
        <f t="shared" si="3"/>
        <v>80439541</v>
      </c>
      <c r="C92" s="2">
        <f t="shared" si="4"/>
        <v>1663200</v>
      </c>
      <c r="D92" s="2">
        <f t="shared" si="5"/>
        <v>0</v>
      </c>
      <c r="E92" s="2">
        <v>0</v>
      </c>
      <c r="G92" s="2">
        <f t="shared" si="6"/>
        <v>80439541</v>
      </c>
      <c r="H92" s="2">
        <f>-D12</f>
        <v>-1663200</v>
      </c>
    </row>
    <row r="93" spans="1:8" x14ac:dyDescent="0.3">
      <c r="A93" t="s">
        <v>34</v>
      </c>
      <c r="B93" s="2">
        <f t="shared" si="3"/>
        <v>79815840</v>
      </c>
      <c r="C93" s="2">
        <f t="shared" si="4"/>
        <v>623701</v>
      </c>
      <c r="D93" s="2">
        <f t="shared" si="5"/>
        <v>0</v>
      </c>
      <c r="E93" s="2">
        <v>0</v>
      </c>
      <c r="G93" s="2">
        <f t="shared" si="6"/>
        <v>79815840</v>
      </c>
      <c r="H93" s="2">
        <f>-D13</f>
        <v>-623701</v>
      </c>
    </row>
    <row r="94" spans="1:8" x14ac:dyDescent="0.3">
      <c r="A94" t="s">
        <v>32</v>
      </c>
      <c r="B94" s="2">
        <f t="shared" si="3"/>
        <v>79516463</v>
      </c>
      <c r="C94" s="2">
        <f t="shared" si="4"/>
        <v>299377</v>
      </c>
      <c r="D94" s="2">
        <f t="shared" si="5"/>
        <v>0</v>
      </c>
      <c r="E94" s="2">
        <v>0</v>
      </c>
      <c r="G94" s="2">
        <f t="shared" si="6"/>
        <v>79516463</v>
      </c>
      <c r="H94" s="2">
        <f>-D11</f>
        <v>-299377</v>
      </c>
    </row>
    <row r="95" spans="1:8" x14ac:dyDescent="0.3">
      <c r="A95" t="s">
        <v>39</v>
      </c>
      <c r="B95" s="2">
        <f t="shared" si="3"/>
        <v>79516463</v>
      </c>
      <c r="C95" s="2">
        <f t="shared" si="4"/>
        <v>0</v>
      </c>
      <c r="D95" s="2">
        <f t="shared" si="5"/>
        <v>2211160</v>
      </c>
      <c r="E95" s="2">
        <v>0</v>
      </c>
      <c r="G95" s="2">
        <f t="shared" si="6"/>
        <v>81727623</v>
      </c>
      <c r="H95" s="2">
        <f>-D18</f>
        <v>2211160</v>
      </c>
    </row>
    <row r="96" spans="1:8" x14ac:dyDescent="0.3">
      <c r="A96" s="4" t="s">
        <v>61</v>
      </c>
      <c r="B96" s="18">
        <v>0</v>
      </c>
      <c r="C96" s="18">
        <v>0</v>
      </c>
      <c r="D96" s="18">
        <v>0</v>
      </c>
      <c r="E96" s="18">
        <f>C19</f>
        <v>81727623</v>
      </c>
      <c r="G96" s="2">
        <f>C19</f>
        <v>81727623</v>
      </c>
      <c r="H96" s="2">
        <v>0</v>
      </c>
    </row>
    <row r="99" spans="1:4" ht="15.6" x14ac:dyDescent="0.3">
      <c r="A99" s="15" t="s">
        <v>111</v>
      </c>
    </row>
    <row r="100" spans="1:4" x14ac:dyDescent="0.3">
      <c r="A100" s="16" t="s">
        <v>59</v>
      </c>
      <c r="B100" s="16" t="s">
        <v>112</v>
      </c>
      <c r="C100" s="16" t="s">
        <v>113</v>
      </c>
      <c r="D100" s="16" t="s">
        <v>114</v>
      </c>
    </row>
    <row r="101" spans="1:4" x14ac:dyDescent="0.3">
      <c r="A101" t="s">
        <v>62</v>
      </c>
      <c r="B101" s="26">
        <f>Chennai!Z10/Chennai!Z2</f>
        <v>0.16663636363636364</v>
      </c>
      <c r="C101" s="26">
        <f>Chennai!AA10/Chennai!AA2</f>
        <v>0.15605034329104714</v>
      </c>
      <c r="D101" s="17">
        <f>C101-B101</f>
        <v>-1.0586020345316499E-2</v>
      </c>
    </row>
    <row r="102" spans="1:4" x14ac:dyDescent="0.3">
      <c r="A102" t="s">
        <v>63</v>
      </c>
      <c r="B102" s="26">
        <f>Mumbai!Z10/Mumbai!Z2</f>
        <v>0.17367448680351907</v>
      </c>
      <c r="C102" s="26">
        <f>Mumbai!AA10/Mumbai!AA2</f>
        <v>0.16309069014627822</v>
      </c>
      <c r="D102" s="17">
        <f>C102-B102</f>
        <v>-1.0583796657240852E-2</v>
      </c>
    </row>
    <row r="103" spans="1:4" x14ac:dyDescent="0.3">
      <c r="A103" t="s">
        <v>64</v>
      </c>
      <c r="B103" s="26">
        <f>Pune!Z10/Pune!Z2</f>
        <v>0.15515311004784688</v>
      </c>
      <c r="C103" s="26">
        <f>Pune!AA10/Pune!AA2</f>
        <v>0.14456341371776188</v>
      </c>
      <c r="D103" s="17">
        <f>C103-B103</f>
        <v>-1.0589696330084997E-2</v>
      </c>
    </row>
    <row r="104" spans="1:4" x14ac:dyDescent="0.3">
      <c r="A104" t="s">
        <v>65</v>
      </c>
      <c r="B104" s="26">
        <f>Hyderabad!Z10/Hyderabad!Z2</f>
        <v>0.16167768595041324</v>
      </c>
      <c r="C104" s="26">
        <f>Hyderabad!AA10/Hyderabad!AA2</f>
        <v>0.15109005758030447</v>
      </c>
      <c r="D104" s="17">
        <f>C104-B104</f>
        <v>-1.0587628370108765E-2</v>
      </c>
    </row>
    <row r="105" spans="1:4" x14ac:dyDescent="0.3">
      <c r="A105" t="s">
        <v>66</v>
      </c>
      <c r="B105" s="26">
        <f>Bangalore!Z10/Bangalore!Z2</f>
        <v>0.17165203761755485</v>
      </c>
      <c r="C105" s="26">
        <f>Bangalore!AA10/Bangalore!AA2</f>
        <v>0.16106761242213433</v>
      </c>
      <c r="D105" s="17">
        <f>C105-B105</f>
        <v>-1.0584425195420522E-2</v>
      </c>
    </row>
    <row r="106" spans="1:4" x14ac:dyDescent="0.3">
      <c r="A106" s="5" t="s">
        <v>115</v>
      </c>
      <c r="B106" s="27">
        <f>Summary!Z10/Summary!Z2</f>
        <v>0.16692496392496392</v>
      </c>
      <c r="C106" s="27">
        <f>Summary!AA10/Summary!AA2</f>
        <v>0.15633902273378469</v>
      </c>
      <c r="D106" s="19">
        <f>C106-B106</f>
        <v>-1.0585941191179227E-2</v>
      </c>
    </row>
  </sheetData>
  <mergeCells count="11">
    <mergeCell ref="A80:H80"/>
    <mergeCell ref="A81:H81"/>
    <mergeCell ref="A82:H82"/>
    <mergeCell ref="A83:H83"/>
    <mergeCell ref="A84:H84"/>
    <mergeCell ref="A70:H70"/>
    <mergeCell ref="A73:H73"/>
    <mergeCell ref="A74:H74"/>
    <mergeCell ref="A75:H75"/>
    <mergeCell ref="A76:H76"/>
    <mergeCell ref="A77:H77"/>
  </mergeCells>
  <conditionalFormatting sqref="G6:G19">
    <cfRule type="containsText" dxfId="0" priority="1" operator="containsText" text="Unfavourable">
      <formula>NOT(ISERROR(SEARCH("Unfavourable",G6)))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workbookViewId="0">
      <selection activeCell="D26" sqref="D26"/>
    </sheetView>
  </sheetViews>
  <sheetFormatPr defaultRowHeight="14.4" x14ac:dyDescent="0.3"/>
  <cols>
    <col min="1" max="1" width="14" customWidth="1"/>
    <col min="2" max="2" width="27" bestFit="1" customWidth="1"/>
    <col min="3" max="27" width="14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12500000</v>
      </c>
      <c r="C2">
        <v>12500000</v>
      </c>
      <c r="D2">
        <v>12750000</v>
      </c>
      <c r="E2">
        <v>13005000</v>
      </c>
      <c r="F2">
        <v>13000000</v>
      </c>
      <c r="G2">
        <v>12480000</v>
      </c>
      <c r="H2">
        <v>12875000</v>
      </c>
      <c r="I2">
        <v>13261250</v>
      </c>
      <c r="J2">
        <v>13250000</v>
      </c>
      <c r="K2">
        <v>12985000</v>
      </c>
      <c r="L2">
        <v>13500000</v>
      </c>
      <c r="M2">
        <v>13500000</v>
      </c>
      <c r="N2">
        <v>13750000</v>
      </c>
      <c r="O2">
        <v>14025000</v>
      </c>
      <c r="P2">
        <v>14000000</v>
      </c>
      <c r="Q2">
        <v>13440000</v>
      </c>
      <c r="R2">
        <v>13875000</v>
      </c>
      <c r="S2">
        <v>14291250</v>
      </c>
      <c r="T2">
        <v>14500000</v>
      </c>
      <c r="U2">
        <v>14500000</v>
      </c>
      <c r="V2">
        <v>15000000</v>
      </c>
      <c r="W2">
        <v>15600000</v>
      </c>
      <c r="X2">
        <v>16000000</v>
      </c>
      <c r="Y2">
        <v>15360000</v>
      </c>
      <c r="Z2">
        <v>165000000</v>
      </c>
      <c r="AA2">
        <v>164947500</v>
      </c>
    </row>
    <row r="3" spans="1:27" x14ac:dyDescent="0.3">
      <c r="A3" t="s">
        <v>28</v>
      </c>
      <c r="B3">
        <v>7500000</v>
      </c>
      <c r="C3">
        <v>7562500</v>
      </c>
      <c r="D3">
        <v>7650000</v>
      </c>
      <c r="E3">
        <v>7868025</v>
      </c>
      <c r="F3">
        <v>7800000</v>
      </c>
      <c r="G3">
        <v>7550400</v>
      </c>
      <c r="H3">
        <v>7725000</v>
      </c>
      <c r="I3">
        <v>8023056</v>
      </c>
      <c r="J3">
        <v>7950000</v>
      </c>
      <c r="K3">
        <v>7855925</v>
      </c>
      <c r="L3">
        <v>8100000</v>
      </c>
      <c r="M3">
        <v>8167500</v>
      </c>
      <c r="N3">
        <v>8250000</v>
      </c>
      <c r="O3">
        <v>8485125</v>
      </c>
      <c r="P3">
        <v>8400000</v>
      </c>
      <c r="Q3">
        <v>8131200</v>
      </c>
      <c r="R3">
        <v>8325000</v>
      </c>
      <c r="S3">
        <v>8646206</v>
      </c>
      <c r="T3">
        <v>8700000</v>
      </c>
      <c r="U3">
        <v>8772500</v>
      </c>
      <c r="V3">
        <v>9000000</v>
      </c>
      <c r="W3">
        <v>9438000</v>
      </c>
      <c r="X3">
        <v>9600000</v>
      </c>
      <c r="Y3">
        <v>9292800</v>
      </c>
      <c r="Z3">
        <v>99000000</v>
      </c>
      <c r="AA3">
        <v>99793237</v>
      </c>
    </row>
    <row r="4" spans="1:27" x14ac:dyDescent="0.3">
      <c r="A4" t="s">
        <v>29</v>
      </c>
      <c r="B4">
        <v>5000000</v>
      </c>
      <c r="C4">
        <v>4937500</v>
      </c>
      <c r="D4">
        <v>5100000</v>
      </c>
      <c r="E4">
        <v>5136975</v>
      </c>
      <c r="F4">
        <v>5200000</v>
      </c>
      <c r="G4">
        <v>4929600</v>
      </c>
      <c r="H4">
        <v>5150000</v>
      </c>
      <c r="I4">
        <v>5238194</v>
      </c>
      <c r="J4">
        <v>5300000</v>
      </c>
      <c r="K4">
        <v>5129075</v>
      </c>
      <c r="L4">
        <v>5400000</v>
      </c>
      <c r="M4">
        <v>5332500</v>
      </c>
      <c r="N4">
        <v>5500000</v>
      </c>
      <c r="O4">
        <v>5539875</v>
      </c>
      <c r="P4">
        <v>5600000</v>
      </c>
      <c r="Q4">
        <v>5308800</v>
      </c>
      <c r="R4">
        <v>5550000</v>
      </c>
      <c r="S4">
        <v>5645044</v>
      </c>
      <c r="T4">
        <v>5800000</v>
      </c>
      <c r="U4">
        <v>5727500</v>
      </c>
      <c r="V4">
        <v>6000000</v>
      </c>
      <c r="W4">
        <v>6162000</v>
      </c>
      <c r="X4">
        <v>6400000</v>
      </c>
      <c r="Y4">
        <v>6067200</v>
      </c>
      <c r="Z4">
        <v>66000000</v>
      </c>
      <c r="AA4">
        <v>65154263</v>
      </c>
    </row>
    <row r="5" spans="1:27" x14ac:dyDescent="0.3">
      <c r="A5" t="s">
        <v>30</v>
      </c>
      <c r="B5">
        <v>1500000</v>
      </c>
      <c r="C5">
        <v>1530000</v>
      </c>
      <c r="D5">
        <v>1530000</v>
      </c>
      <c r="E5">
        <v>1560600</v>
      </c>
      <c r="F5">
        <v>1560000</v>
      </c>
      <c r="G5">
        <v>1591200</v>
      </c>
      <c r="H5">
        <v>1545000</v>
      </c>
      <c r="I5">
        <v>1575900</v>
      </c>
      <c r="J5">
        <v>1590000</v>
      </c>
      <c r="K5">
        <v>1621800</v>
      </c>
      <c r="L5">
        <v>1620000</v>
      </c>
      <c r="M5">
        <v>1652400</v>
      </c>
      <c r="N5">
        <v>1650000</v>
      </c>
      <c r="O5">
        <v>1683000</v>
      </c>
      <c r="P5">
        <v>1680000</v>
      </c>
      <c r="Q5">
        <v>1713600</v>
      </c>
      <c r="R5">
        <v>1665000</v>
      </c>
      <c r="S5">
        <v>1698300</v>
      </c>
      <c r="T5">
        <v>1740000</v>
      </c>
      <c r="U5">
        <v>1774800</v>
      </c>
      <c r="V5">
        <v>1800000</v>
      </c>
      <c r="W5">
        <v>1836000</v>
      </c>
      <c r="X5">
        <v>1920000</v>
      </c>
      <c r="Y5">
        <v>1958400</v>
      </c>
      <c r="Z5">
        <v>19800000</v>
      </c>
      <c r="AA5">
        <v>20196000</v>
      </c>
    </row>
    <row r="6" spans="1:27" x14ac:dyDescent="0.3">
      <c r="A6" t="s">
        <v>31</v>
      </c>
      <c r="B6">
        <v>500000</v>
      </c>
      <c r="C6">
        <v>500000</v>
      </c>
      <c r="D6">
        <v>500000</v>
      </c>
      <c r="E6">
        <v>500000</v>
      </c>
      <c r="F6">
        <v>500000</v>
      </c>
      <c r="G6">
        <v>500000</v>
      </c>
      <c r="H6">
        <v>500000</v>
      </c>
      <c r="I6">
        <v>500000</v>
      </c>
      <c r="J6">
        <v>500000</v>
      </c>
      <c r="K6">
        <v>500000</v>
      </c>
      <c r="L6">
        <v>500000</v>
      </c>
      <c r="M6">
        <v>500000</v>
      </c>
      <c r="N6">
        <v>500000</v>
      </c>
      <c r="O6">
        <v>500000</v>
      </c>
      <c r="P6">
        <v>500000</v>
      </c>
      <c r="Q6">
        <v>500000</v>
      </c>
      <c r="R6">
        <v>500000</v>
      </c>
      <c r="S6">
        <v>500000</v>
      </c>
      <c r="T6">
        <v>500000</v>
      </c>
      <c r="U6">
        <v>500000</v>
      </c>
      <c r="V6">
        <v>500000</v>
      </c>
      <c r="W6">
        <v>500000</v>
      </c>
      <c r="X6">
        <v>500000</v>
      </c>
      <c r="Y6">
        <v>500000</v>
      </c>
      <c r="Z6">
        <v>6000000</v>
      </c>
      <c r="AA6">
        <v>6000000</v>
      </c>
    </row>
    <row r="7" spans="1:27" x14ac:dyDescent="0.3">
      <c r="A7" t="s">
        <v>32</v>
      </c>
      <c r="B7">
        <v>150000</v>
      </c>
      <c r="C7">
        <v>154500</v>
      </c>
      <c r="D7">
        <v>153000</v>
      </c>
      <c r="E7">
        <v>157590</v>
      </c>
      <c r="F7">
        <v>156000</v>
      </c>
      <c r="G7">
        <v>160680</v>
      </c>
      <c r="H7">
        <v>154500</v>
      </c>
      <c r="I7">
        <v>159135</v>
      </c>
      <c r="J7">
        <v>159000</v>
      </c>
      <c r="K7">
        <v>163770</v>
      </c>
      <c r="L7">
        <v>162000</v>
      </c>
      <c r="M7">
        <v>166860</v>
      </c>
      <c r="N7">
        <v>165000</v>
      </c>
      <c r="O7">
        <v>169950</v>
      </c>
      <c r="P7">
        <v>168000</v>
      </c>
      <c r="Q7">
        <v>173040</v>
      </c>
      <c r="R7">
        <v>166500</v>
      </c>
      <c r="S7">
        <v>171495</v>
      </c>
      <c r="T7">
        <v>174000</v>
      </c>
      <c r="U7">
        <v>179220</v>
      </c>
      <c r="V7">
        <v>180000</v>
      </c>
      <c r="W7">
        <v>185400</v>
      </c>
      <c r="X7">
        <v>192000</v>
      </c>
      <c r="Y7">
        <v>197760</v>
      </c>
      <c r="Z7">
        <v>1980000</v>
      </c>
      <c r="AA7">
        <v>2039400</v>
      </c>
    </row>
    <row r="8" spans="1:27" x14ac:dyDescent="0.3">
      <c r="A8" t="s">
        <v>33</v>
      </c>
      <c r="B8">
        <v>500000</v>
      </c>
      <c r="C8">
        <v>525000</v>
      </c>
      <c r="D8">
        <v>510000</v>
      </c>
      <c r="E8">
        <v>535500</v>
      </c>
      <c r="F8">
        <v>520000</v>
      </c>
      <c r="G8">
        <v>546000</v>
      </c>
      <c r="H8">
        <v>515000</v>
      </c>
      <c r="I8">
        <v>540750</v>
      </c>
      <c r="J8">
        <v>530000</v>
      </c>
      <c r="K8">
        <v>556500</v>
      </c>
      <c r="L8">
        <v>540000</v>
      </c>
      <c r="M8">
        <v>567000</v>
      </c>
      <c r="N8">
        <v>550000</v>
      </c>
      <c r="O8">
        <v>577500</v>
      </c>
      <c r="P8">
        <v>560000</v>
      </c>
      <c r="Q8">
        <v>588000</v>
      </c>
      <c r="R8">
        <v>555000</v>
      </c>
      <c r="S8">
        <v>582750</v>
      </c>
      <c r="T8">
        <v>580000</v>
      </c>
      <c r="U8">
        <v>609000</v>
      </c>
      <c r="V8">
        <v>600000</v>
      </c>
      <c r="W8">
        <v>630000</v>
      </c>
      <c r="X8">
        <v>640000</v>
      </c>
      <c r="Y8">
        <v>672000</v>
      </c>
      <c r="Z8">
        <v>6600000</v>
      </c>
      <c r="AA8">
        <v>6930000</v>
      </c>
    </row>
    <row r="9" spans="1:27" x14ac:dyDescent="0.3">
      <c r="A9" t="s">
        <v>34</v>
      </c>
      <c r="B9">
        <v>312500</v>
      </c>
      <c r="C9">
        <v>321875</v>
      </c>
      <c r="D9">
        <v>318750</v>
      </c>
      <c r="E9">
        <v>328312</v>
      </c>
      <c r="F9">
        <v>325000</v>
      </c>
      <c r="G9">
        <v>334750</v>
      </c>
      <c r="H9">
        <v>321875</v>
      </c>
      <c r="I9">
        <v>331531</v>
      </c>
      <c r="J9">
        <v>331250</v>
      </c>
      <c r="K9">
        <v>341188</v>
      </c>
      <c r="L9">
        <v>337500</v>
      </c>
      <c r="M9">
        <v>347625</v>
      </c>
      <c r="N9">
        <v>343750</v>
      </c>
      <c r="O9">
        <v>354062</v>
      </c>
      <c r="P9">
        <v>350000</v>
      </c>
      <c r="Q9">
        <v>360500</v>
      </c>
      <c r="R9">
        <v>346875</v>
      </c>
      <c r="S9">
        <v>357281</v>
      </c>
      <c r="T9">
        <v>362500</v>
      </c>
      <c r="U9">
        <v>373375</v>
      </c>
      <c r="V9">
        <v>375000</v>
      </c>
      <c r="W9">
        <v>386250</v>
      </c>
      <c r="X9">
        <v>400000</v>
      </c>
      <c r="Y9">
        <v>412000</v>
      </c>
      <c r="Z9">
        <v>4125000</v>
      </c>
      <c r="AA9">
        <v>4248749</v>
      </c>
    </row>
    <row r="10" spans="1:27" x14ac:dyDescent="0.3">
      <c r="A10" t="s">
        <v>35</v>
      </c>
      <c r="B10">
        <v>2037500</v>
      </c>
      <c r="C10">
        <v>1906125</v>
      </c>
      <c r="D10">
        <v>2088250</v>
      </c>
      <c r="E10">
        <v>2054973</v>
      </c>
      <c r="F10">
        <v>2139000</v>
      </c>
      <c r="G10">
        <v>1796970</v>
      </c>
      <c r="H10">
        <v>2113625</v>
      </c>
      <c r="I10">
        <v>2130878</v>
      </c>
      <c r="J10">
        <v>2189750</v>
      </c>
      <c r="K10">
        <v>1945817</v>
      </c>
      <c r="L10">
        <v>2240500</v>
      </c>
      <c r="M10">
        <v>2098615</v>
      </c>
      <c r="N10">
        <v>2291250</v>
      </c>
      <c r="O10">
        <v>2255363</v>
      </c>
      <c r="P10">
        <v>2342000</v>
      </c>
      <c r="Q10">
        <v>1973660</v>
      </c>
      <c r="R10">
        <v>2316625</v>
      </c>
      <c r="S10">
        <v>2335218</v>
      </c>
      <c r="T10">
        <v>2443500</v>
      </c>
      <c r="U10">
        <v>2291105</v>
      </c>
      <c r="V10">
        <v>2545000</v>
      </c>
      <c r="W10">
        <v>2624350</v>
      </c>
      <c r="X10">
        <v>2748000</v>
      </c>
      <c r="Y10">
        <v>2327040</v>
      </c>
      <c r="Z10">
        <v>27495000</v>
      </c>
      <c r="AA10">
        <v>25740114</v>
      </c>
    </row>
    <row r="11" spans="1:27" x14ac:dyDescent="0.3">
      <c r="A11" t="s">
        <v>36</v>
      </c>
      <c r="B11">
        <v>250000</v>
      </c>
      <c r="C11">
        <v>250000</v>
      </c>
      <c r="D11">
        <v>250000</v>
      </c>
      <c r="E11">
        <v>250000</v>
      </c>
      <c r="F11">
        <v>250000</v>
      </c>
      <c r="G11">
        <v>250000</v>
      </c>
      <c r="H11">
        <v>250000</v>
      </c>
      <c r="I11">
        <v>250000</v>
      </c>
      <c r="J11">
        <v>250000</v>
      </c>
      <c r="K11">
        <v>250000</v>
      </c>
      <c r="L11">
        <v>250000</v>
      </c>
      <c r="M11">
        <v>250000</v>
      </c>
      <c r="N11">
        <v>250000</v>
      </c>
      <c r="O11">
        <v>250000</v>
      </c>
      <c r="P11">
        <v>250000</v>
      </c>
      <c r="Q11">
        <v>250000</v>
      </c>
      <c r="R11">
        <v>250000</v>
      </c>
      <c r="S11">
        <v>250000</v>
      </c>
      <c r="T11">
        <v>250000</v>
      </c>
      <c r="U11">
        <v>250000</v>
      </c>
      <c r="V11">
        <v>250000</v>
      </c>
      <c r="W11">
        <v>250000</v>
      </c>
      <c r="X11">
        <v>250000</v>
      </c>
      <c r="Y11">
        <v>250000</v>
      </c>
      <c r="Z11">
        <v>3000000</v>
      </c>
      <c r="AA11">
        <v>3000000</v>
      </c>
    </row>
    <row r="12" spans="1:27" x14ac:dyDescent="0.3">
      <c r="A12" t="s">
        <v>37</v>
      </c>
      <c r="B12">
        <v>100000</v>
      </c>
      <c r="C12">
        <v>100000</v>
      </c>
      <c r="D12">
        <v>100000</v>
      </c>
      <c r="E12">
        <v>100000</v>
      </c>
      <c r="F12">
        <v>100000</v>
      </c>
      <c r="G12">
        <v>100000</v>
      </c>
      <c r="H12">
        <v>100000</v>
      </c>
      <c r="I12">
        <v>100000</v>
      </c>
      <c r="J12">
        <v>100000</v>
      </c>
      <c r="K12">
        <v>100000</v>
      </c>
      <c r="L12">
        <v>100000</v>
      </c>
      <c r="M12">
        <v>100000</v>
      </c>
      <c r="N12">
        <v>100000</v>
      </c>
      <c r="O12">
        <v>100000</v>
      </c>
      <c r="P12">
        <v>100000</v>
      </c>
      <c r="Q12">
        <v>100000</v>
      </c>
      <c r="R12">
        <v>100000</v>
      </c>
      <c r="S12">
        <v>100000</v>
      </c>
      <c r="T12">
        <v>100000</v>
      </c>
      <c r="U12">
        <v>100000</v>
      </c>
      <c r="V12">
        <v>100000</v>
      </c>
      <c r="W12">
        <v>100000</v>
      </c>
      <c r="X12">
        <v>100000</v>
      </c>
      <c r="Y12">
        <v>100000</v>
      </c>
      <c r="Z12">
        <v>1200000</v>
      </c>
      <c r="AA12">
        <v>1200000</v>
      </c>
    </row>
    <row r="13" spans="1:27" x14ac:dyDescent="0.3">
      <c r="A13" t="s">
        <v>38</v>
      </c>
      <c r="B13">
        <v>1687500</v>
      </c>
      <c r="C13">
        <v>1556125</v>
      </c>
      <c r="D13">
        <v>1738250</v>
      </c>
      <c r="E13">
        <v>1704973</v>
      </c>
      <c r="F13">
        <v>1789000</v>
      </c>
      <c r="G13">
        <v>1446970</v>
      </c>
      <c r="H13">
        <v>1763625</v>
      </c>
      <c r="I13">
        <v>1780878</v>
      </c>
      <c r="J13">
        <v>1839750</v>
      </c>
      <c r="K13">
        <v>1595817</v>
      </c>
      <c r="L13">
        <v>1890500</v>
      </c>
      <c r="M13">
        <v>1748615</v>
      </c>
      <c r="N13">
        <v>1941250</v>
      </c>
      <c r="O13">
        <v>1905363</v>
      </c>
      <c r="P13">
        <v>1992000</v>
      </c>
      <c r="Q13">
        <v>1623660</v>
      </c>
      <c r="R13">
        <v>1966625</v>
      </c>
      <c r="S13">
        <v>1985218</v>
      </c>
      <c r="T13">
        <v>2093500</v>
      </c>
      <c r="U13">
        <v>1941105</v>
      </c>
      <c r="V13">
        <v>2195000</v>
      </c>
      <c r="W13">
        <v>2274350</v>
      </c>
      <c r="X13">
        <v>2398000</v>
      </c>
      <c r="Y13">
        <v>1977040</v>
      </c>
      <c r="Z13">
        <v>23295000</v>
      </c>
      <c r="AA13">
        <v>21540114</v>
      </c>
    </row>
    <row r="14" spans="1:27" x14ac:dyDescent="0.3">
      <c r="A14" t="s">
        <v>39</v>
      </c>
      <c r="B14">
        <v>421875</v>
      </c>
      <c r="C14">
        <v>389031</v>
      </c>
      <c r="D14">
        <v>434562</v>
      </c>
      <c r="E14">
        <v>426243</v>
      </c>
      <c r="F14">
        <v>447250</v>
      </c>
      <c r="G14">
        <v>361742</v>
      </c>
      <c r="H14">
        <v>440906</v>
      </c>
      <c r="I14">
        <v>445220</v>
      </c>
      <c r="J14">
        <v>459938</v>
      </c>
      <c r="K14">
        <v>398954</v>
      </c>
      <c r="L14">
        <v>472625</v>
      </c>
      <c r="M14">
        <v>437154</v>
      </c>
      <c r="N14">
        <v>485312</v>
      </c>
      <c r="O14">
        <v>476341</v>
      </c>
      <c r="P14">
        <v>498000</v>
      </c>
      <c r="Q14">
        <v>405915</v>
      </c>
      <c r="R14">
        <v>491656</v>
      </c>
      <c r="S14">
        <v>496304</v>
      </c>
      <c r="T14">
        <v>523375</v>
      </c>
      <c r="U14">
        <v>485276</v>
      </c>
      <c r="V14">
        <v>548750</v>
      </c>
      <c r="W14">
        <v>568588</v>
      </c>
      <c r="X14">
        <v>599500</v>
      </c>
      <c r="Y14">
        <v>494260</v>
      </c>
      <c r="Z14">
        <v>5823749</v>
      </c>
      <c r="AA14">
        <v>5385028</v>
      </c>
    </row>
    <row r="15" spans="1:27" x14ac:dyDescent="0.3">
      <c r="A15" t="s">
        <v>40</v>
      </c>
      <c r="B15">
        <v>1265625</v>
      </c>
      <c r="C15">
        <v>1167094</v>
      </c>
      <c r="D15">
        <v>1303688</v>
      </c>
      <c r="E15">
        <v>1278730</v>
      </c>
      <c r="F15">
        <v>1341750</v>
      </c>
      <c r="G15">
        <v>1085228</v>
      </c>
      <c r="H15">
        <v>1322719</v>
      </c>
      <c r="I15">
        <v>1335658</v>
      </c>
      <c r="J15">
        <v>1379812</v>
      </c>
      <c r="K15">
        <v>1196863</v>
      </c>
      <c r="L15">
        <v>1417875</v>
      </c>
      <c r="M15">
        <v>1311461</v>
      </c>
      <c r="N15">
        <v>1455938</v>
      </c>
      <c r="O15">
        <v>1429022</v>
      </c>
      <c r="P15">
        <v>1494000</v>
      </c>
      <c r="Q15">
        <v>1217745</v>
      </c>
      <c r="R15">
        <v>1474969</v>
      </c>
      <c r="S15">
        <v>1488914</v>
      </c>
      <c r="T15">
        <v>1570125</v>
      </c>
      <c r="U15">
        <v>1455829</v>
      </c>
      <c r="V15">
        <v>1646250</v>
      </c>
      <c r="W15">
        <v>1705762</v>
      </c>
      <c r="X15">
        <v>1798500</v>
      </c>
      <c r="Y15">
        <v>1482780</v>
      </c>
      <c r="Z15">
        <v>17471251</v>
      </c>
      <c r="AA15">
        <v>16155086</v>
      </c>
    </row>
    <row r="19" spans="2:2" x14ac:dyDescent="0.3">
      <c r="B19" t="s">
        <v>41</v>
      </c>
    </row>
    <row r="20" spans="2:2" x14ac:dyDescent="0.3">
      <c r="B20" t="s">
        <v>42</v>
      </c>
    </row>
    <row r="21" spans="2:2" x14ac:dyDescent="0.3">
      <c r="B21" t="s">
        <v>43</v>
      </c>
    </row>
    <row r="22" spans="2:2" x14ac:dyDescent="0.3">
      <c r="B22" t="s">
        <v>44</v>
      </c>
    </row>
    <row r="23" spans="2:2" x14ac:dyDescent="0.3">
      <c r="B23" t="s">
        <v>45</v>
      </c>
    </row>
    <row r="24" spans="2:2" x14ac:dyDescent="0.3">
      <c r="B24" t="s">
        <v>46</v>
      </c>
    </row>
    <row r="25" spans="2:2" x14ac:dyDescent="0.3">
      <c r="B25" t="s">
        <v>47</v>
      </c>
    </row>
    <row r="26" spans="2:2" x14ac:dyDescent="0.3">
      <c r="B26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"/>
  <sheetViews>
    <sheetView workbookViewId="0"/>
  </sheetViews>
  <sheetFormatPr defaultRowHeight="14.4" x14ac:dyDescent="0.3"/>
  <cols>
    <col min="1" max="27" width="14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15500000</v>
      </c>
      <c r="C2">
        <v>15500000</v>
      </c>
      <c r="D2">
        <v>15810000</v>
      </c>
      <c r="E2">
        <v>16126200</v>
      </c>
      <c r="F2">
        <v>16120000</v>
      </c>
      <c r="G2">
        <v>15475200</v>
      </c>
      <c r="H2">
        <v>15965000</v>
      </c>
      <c r="I2">
        <v>16443950</v>
      </c>
      <c r="J2">
        <v>16430000</v>
      </c>
      <c r="K2">
        <v>16101400</v>
      </c>
      <c r="L2">
        <v>16740000</v>
      </c>
      <c r="M2">
        <v>16740000</v>
      </c>
      <c r="N2">
        <v>17050000</v>
      </c>
      <c r="O2">
        <v>17391000</v>
      </c>
      <c r="P2">
        <v>17360000</v>
      </c>
      <c r="Q2">
        <v>16665600</v>
      </c>
      <c r="R2">
        <v>17205000</v>
      </c>
      <c r="S2">
        <v>17721150</v>
      </c>
      <c r="T2">
        <v>17980000</v>
      </c>
      <c r="U2">
        <v>17980000</v>
      </c>
      <c r="V2">
        <v>18600000</v>
      </c>
      <c r="W2">
        <v>19344000</v>
      </c>
      <c r="X2">
        <v>19840000</v>
      </c>
      <c r="Y2">
        <v>19046400</v>
      </c>
      <c r="Z2">
        <v>204600000</v>
      </c>
      <c r="AA2">
        <v>204534900</v>
      </c>
    </row>
    <row r="3" spans="1:27" x14ac:dyDescent="0.3">
      <c r="A3" t="s">
        <v>28</v>
      </c>
      <c r="B3">
        <v>9300000</v>
      </c>
      <c r="C3">
        <v>9377500</v>
      </c>
      <c r="D3">
        <v>9486000</v>
      </c>
      <c r="E3">
        <v>9756351</v>
      </c>
      <c r="F3">
        <v>9672000</v>
      </c>
      <c r="G3">
        <v>9362496</v>
      </c>
      <c r="H3">
        <v>9579000</v>
      </c>
      <c r="I3">
        <v>9948590</v>
      </c>
      <c r="J3">
        <v>9858000</v>
      </c>
      <c r="K3">
        <v>9741347</v>
      </c>
      <c r="L3">
        <v>10044000</v>
      </c>
      <c r="M3">
        <v>10127700</v>
      </c>
      <c r="N3">
        <v>10230000</v>
      </c>
      <c r="O3">
        <v>10521555</v>
      </c>
      <c r="P3">
        <v>10416000</v>
      </c>
      <c r="Q3">
        <v>10082688</v>
      </c>
      <c r="R3">
        <v>10323000</v>
      </c>
      <c r="S3">
        <v>10721296</v>
      </c>
      <c r="T3">
        <v>10788000</v>
      </c>
      <c r="U3">
        <v>10877900</v>
      </c>
      <c r="V3">
        <v>11160000</v>
      </c>
      <c r="W3">
        <v>11703120</v>
      </c>
      <c r="X3">
        <v>11904000</v>
      </c>
      <c r="Y3">
        <v>11523072</v>
      </c>
      <c r="Z3">
        <v>122760000</v>
      </c>
      <c r="AA3">
        <v>123743615</v>
      </c>
    </row>
    <row r="4" spans="1:27" x14ac:dyDescent="0.3">
      <c r="A4" t="s">
        <v>29</v>
      </c>
      <c r="B4">
        <v>6200000</v>
      </c>
      <c r="C4">
        <v>6122500</v>
      </c>
      <c r="D4">
        <v>6324000</v>
      </c>
      <c r="E4">
        <v>6369849</v>
      </c>
      <c r="F4">
        <v>6448000</v>
      </c>
      <c r="G4">
        <v>6112704</v>
      </c>
      <c r="H4">
        <v>6386000</v>
      </c>
      <c r="I4">
        <v>6495360</v>
      </c>
      <c r="J4">
        <v>6572000</v>
      </c>
      <c r="K4">
        <v>6360053</v>
      </c>
      <c r="L4">
        <v>6696000</v>
      </c>
      <c r="M4">
        <v>6612300</v>
      </c>
      <c r="N4">
        <v>6820000</v>
      </c>
      <c r="O4">
        <v>6869445</v>
      </c>
      <c r="P4">
        <v>6944000</v>
      </c>
      <c r="Q4">
        <v>6582912</v>
      </c>
      <c r="R4">
        <v>6882000</v>
      </c>
      <c r="S4">
        <v>6999854</v>
      </c>
      <c r="T4">
        <v>7192000</v>
      </c>
      <c r="U4">
        <v>7102100</v>
      </c>
      <c r="V4">
        <v>7440000</v>
      </c>
      <c r="W4">
        <v>7640880</v>
      </c>
      <c r="X4">
        <v>7936000</v>
      </c>
      <c r="Y4">
        <v>7523328</v>
      </c>
      <c r="Z4">
        <v>81840000</v>
      </c>
      <c r="AA4">
        <v>80791285</v>
      </c>
    </row>
    <row r="5" spans="1:27" x14ac:dyDescent="0.3">
      <c r="A5" t="s">
        <v>30</v>
      </c>
      <c r="B5">
        <v>1860000</v>
      </c>
      <c r="C5">
        <v>1897200</v>
      </c>
      <c r="D5">
        <v>1897200</v>
      </c>
      <c r="E5">
        <v>1935144</v>
      </c>
      <c r="F5">
        <v>1934400</v>
      </c>
      <c r="G5">
        <v>1973088</v>
      </c>
      <c r="H5">
        <v>1915800</v>
      </c>
      <c r="I5">
        <v>1954116</v>
      </c>
      <c r="J5">
        <v>1971600</v>
      </c>
      <c r="K5">
        <v>2011032</v>
      </c>
      <c r="L5">
        <v>2008800</v>
      </c>
      <c r="M5">
        <v>2048976</v>
      </c>
      <c r="N5">
        <v>2046000</v>
      </c>
      <c r="O5">
        <v>2086920</v>
      </c>
      <c r="P5">
        <v>2083200</v>
      </c>
      <c r="Q5">
        <v>2124864</v>
      </c>
      <c r="R5">
        <v>2064600</v>
      </c>
      <c r="S5">
        <v>2105892</v>
      </c>
      <c r="T5">
        <v>2157600</v>
      </c>
      <c r="U5">
        <v>2200752</v>
      </c>
      <c r="V5">
        <v>2232000</v>
      </c>
      <c r="W5">
        <v>2276640</v>
      </c>
      <c r="X5">
        <v>2380800</v>
      </c>
      <c r="Y5">
        <v>2428416</v>
      </c>
      <c r="Z5">
        <v>24552000</v>
      </c>
      <c r="AA5">
        <v>25043040</v>
      </c>
    </row>
    <row r="6" spans="1:27" x14ac:dyDescent="0.3">
      <c r="A6" t="s">
        <v>31</v>
      </c>
      <c r="B6">
        <v>500000</v>
      </c>
      <c r="C6">
        <v>500000</v>
      </c>
      <c r="D6">
        <v>500000</v>
      </c>
      <c r="E6">
        <v>500000</v>
      </c>
      <c r="F6">
        <v>500000</v>
      </c>
      <c r="G6">
        <v>500000</v>
      </c>
      <c r="H6">
        <v>500000</v>
      </c>
      <c r="I6">
        <v>500000</v>
      </c>
      <c r="J6">
        <v>500000</v>
      </c>
      <c r="K6">
        <v>500000</v>
      </c>
      <c r="L6">
        <v>500000</v>
      </c>
      <c r="M6">
        <v>500000</v>
      </c>
      <c r="N6">
        <v>500000</v>
      </c>
      <c r="O6">
        <v>500000</v>
      </c>
      <c r="P6">
        <v>500000</v>
      </c>
      <c r="Q6">
        <v>500000</v>
      </c>
      <c r="R6">
        <v>500000</v>
      </c>
      <c r="S6">
        <v>500000</v>
      </c>
      <c r="T6">
        <v>500000</v>
      </c>
      <c r="U6">
        <v>500000</v>
      </c>
      <c r="V6">
        <v>500000</v>
      </c>
      <c r="W6">
        <v>500000</v>
      </c>
      <c r="X6">
        <v>500000</v>
      </c>
      <c r="Y6">
        <v>500000</v>
      </c>
      <c r="Z6">
        <v>6000000</v>
      </c>
      <c r="AA6">
        <v>6000000</v>
      </c>
    </row>
    <row r="7" spans="1:27" x14ac:dyDescent="0.3">
      <c r="A7" t="s">
        <v>32</v>
      </c>
      <c r="B7">
        <v>186000</v>
      </c>
      <c r="C7">
        <v>191580</v>
      </c>
      <c r="D7">
        <v>189720</v>
      </c>
      <c r="E7">
        <v>195412</v>
      </c>
      <c r="F7">
        <v>193440</v>
      </c>
      <c r="G7">
        <v>199243</v>
      </c>
      <c r="H7">
        <v>191580</v>
      </c>
      <c r="I7">
        <v>197327</v>
      </c>
      <c r="J7">
        <v>197160</v>
      </c>
      <c r="K7">
        <v>203075</v>
      </c>
      <c r="L7">
        <v>200880</v>
      </c>
      <c r="M7">
        <v>206906</v>
      </c>
      <c r="N7">
        <v>204600</v>
      </c>
      <c r="O7">
        <v>210738</v>
      </c>
      <c r="P7">
        <v>208320</v>
      </c>
      <c r="Q7">
        <v>214570</v>
      </c>
      <c r="R7">
        <v>206460</v>
      </c>
      <c r="S7">
        <v>212654</v>
      </c>
      <c r="T7">
        <v>215760</v>
      </c>
      <c r="U7">
        <v>222233</v>
      </c>
      <c r="V7">
        <v>223200</v>
      </c>
      <c r="W7">
        <v>229896</v>
      </c>
      <c r="X7">
        <v>238080</v>
      </c>
      <c r="Y7">
        <v>245222</v>
      </c>
      <c r="Z7">
        <v>2455200</v>
      </c>
      <c r="AA7">
        <v>2528856</v>
      </c>
    </row>
    <row r="8" spans="1:27" x14ac:dyDescent="0.3">
      <c r="A8" t="s">
        <v>33</v>
      </c>
      <c r="B8">
        <v>620000</v>
      </c>
      <c r="C8">
        <v>651000</v>
      </c>
      <c r="D8">
        <v>632400</v>
      </c>
      <c r="E8">
        <v>664020</v>
      </c>
      <c r="F8">
        <v>644800</v>
      </c>
      <c r="G8">
        <v>677040</v>
      </c>
      <c r="H8">
        <v>638600</v>
      </c>
      <c r="I8">
        <v>670530</v>
      </c>
      <c r="J8">
        <v>657200</v>
      </c>
      <c r="K8">
        <v>690060</v>
      </c>
      <c r="L8">
        <v>669600</v>
      </c>
      <c r="M8">
        <v>703080</v>
      </c>
      <c r="N8">
        <v>682000</v>
      </c>
      <c r="O8">
        <v>716100</v>
      </c>
      <c r="P8">
        <v>694400</v>
      </c>
      <c r="Q8">
        <v>729120</v>
      </c>
      <c r="R8">
        <v>688200</v>
      </c>
      <c r="S8">
        <v>722610</v>
      </c>
      <c r="T8">
        <v>719200</v>
      </c>
      <c r="U8">
        <v>755160</v>
      </c>
      <c r="V8">
        <v>744000</v>
      </c>
      <c r="W8">
        <v>781200</v>
      </c>
      <c r="X8">
        <v>793600</v>
      </c>
      <c r="Y8">
        <v>833280</v>
      </c>
      <c r="Z8">
        <v>8184000</v>
      </c>
      <c r="AA8">
        <v>8593200</v>
      </c>
    </row>
    <row r="9" spans="1:27" x14ac:dyDescent="0.3">
      <c r="A9" t="s">
        <v>34</v>
      </c>
      <c r="B9">
        <v>387500</v>
      </c>
      <c r="C9">
        <v>399125</v>
      </c>
      <c r="D9">
        <v>395250</v>
      </c>
      <c r="E9">
        <v>407108</v>
      </c>
      <c r="F9">
        <v>403000</v>
      </c>
      <c r="G9">
        <v>415090</v>
      </c>
      <c r="H9">
        <v>399125</v>
      </c>
      <c r="I9">
        <v>411099</v>
      </c>
      <c r="J9">
        <v>410750</v>
      </c>
      <c r="K9">
        <v>423072</v>
      </c>
      <c r="L9">
        <v>418500</v>
      </c>
      <c r="M9">
        <v>431055</v>
      </c>
      <c r="N9">
        <v>426250</v>
      </c>
      <c r="O9">
        <v>439038</v>
      </c>
      <c r="P9">
        <v>434000</v>
      </c>
      <c r="Q9">
        <v>447020</v>
      </c>
      <c r="R9">
        <v>430125</v>
      </c>
      <c r="S9">
        <v>443029</v>
      </c>
      <c r="T9">
        <v>449500</v>
      </c>
      <c r="U9">
        <v>462985</v>
      </c>
      <c r="V9">
        <v>465000</v>
      </c>
      <c r="W9">
        <v>478950</v>
      </c>
      <c r="X9">
        <v>496000</v>
      </c>
      <c r="Y9">
        <v>510880</v>
      </c>
      <c r="Z9">
        <v>5115000</v>
      </c>
      <c r="AA9">
        <v>5268451</v>
      </c>
    </row>
    <row r="10" spans="1:27" x14ac:dyDescent="0.3">
      <c r="A10" t="s">
        <v>35</v>
      </c>
      <c r="B10">
        <v>2646500</v>
      </c>
      <c r="C10">
        <v>2483595</v>
      </c>
      <c r="D10">
        <v>2709430</v>
      </c>
      <c r="E10">
        <v>2668165</v>
      </c>
      <c r="F10">
        <v>2772360</v>
      </c>
      <c r="G10">
        <v>2348243</v>
      </c>
      <c r="H10">
        <v>2740895</v>
      </c>
      <c r="I10">
        <v>2762288</v>
      </c>
      <c r="J10">
        <v>2835290</v>
      </c>
      <c r="K10">
        <v>2532814</v>
      </c>
      <c r="L10">
        <v>2898220</v>
      </c>
      <c r="M10">
        <v>2722283</v>
      </c>
      <c r="N10">
        <v>2961150</v>
      </c>
      <c r="O10">
        <v>2916649</v>
      </c>
      <c r="P10">
        <v>3024080</v>
      </c>
      <c r="Q10">
        <v>2567338</v>
      </c>
      <c r="R10">
        <v>2992615</v>
      </c>
      <c r="S10">
        <v>3015669</v>
      </c>
      <c r="T10">
        <v>3149940</v>
      </c>
      <c r="U10">
        <v>2960970</v>
      </c>
      <c r="V10">
        <v>3275800</v>
      </c>
      <c r="W10">
        <v>3374194</v>
      </c>
      <c r="X10">
        <v>3527520</v>
      </c>
      <c r="Y10">
        <v>3005530</v>
      </c>
      <c r="Z10">
        <v>35533800</v>
      </c>
      <c r="AA10">
        <v>33357738</v>
      </c>
    </row>
    <row r="11" spans="1:27" x14ac:dyDescent="0.3">
      <c r="A11" t="s">
        <v>36</v>
      </c>
      <c r="B11">
        <v>250000</v>
      </c>
      <c r="C11">
        <v>250000</v>
      </c>
      <c r="D11">
        <v>250000</v>
      </c>
      <c r="E11">
        <v>250000</v>
      </c>
      <c r="F11">
        <v>250000</v>
      </c>
      <c r="G11">
        <v>250000</v>
      </c>
      <c r="H11">
        <v>250000</v>
      </c>
      <c r="I11">
        <v>250000</v>
      </c>
      <c r="J11">
        <v>250000</v>
      </c>
      <c r="K11">
        <v>250000</v>
      </c>
      <c r="L11">
        <v>250000</v>
      </c>
      <c r="M11">
        <v>250000</v>
      </c>
      <c r="N11">
        <v>250000</v>
      </c>
      <c r="O11">
        <v>250000</v>
      </c>
      <c r="P11">
        <v>250000</v>
      </c>
      <c r="Q11">
        <v>250000</v>
      </c>
      <c r="R11">
        <v>250000</v>
      </c>
      <c r="S11">
        <v>250000</v>
      </c>
      <c r="T11">
        <v>250000</v>
      </c>
      <c r="U11">
        <v>250000</v>
      </c>
      <c r="V11">
        <v>250000</v>
      </c>
      <c r="W11">
        <v>250000</v>
      </c>
      <c r="X11">
        <v>250000</v>
      </c>
      <c r="Y11">
        <v>250000</v>
      </c>
      <c r="Z11">
        <v>3000000</v>
      </c>
      <c r="AA11">
        <v>3000000</v>
      </c>
    </row>
    <row r="12" spans="1:27" x14ac:dyDescent="0.3">
      <c r="A12" t="s">
        <v>37</v>
      </c>
      <c r="B12">
        <v>100000</v>
      </c>
      <c r="C12">
        <v>100000</v>
      </c>
      <c r="D12">
        <v>100000</v>
      </c>
      <c r="E12">
        <v>100000</v>
      </c>
      <c r="F12">
        <v>100000</v>
      </c>
      <c r="G12">
        <v>100000</v>
      </c>
      <c r="H12">
        <v>100000</v>
      </c>
      <c r="I12">
        <v>100000</v>
      </c>
      <c r="J12">
        <v>100000</v>
      </c>
      <c r="K12">
        <v>100000</v>
      </c>
      <c r="L12">
        <v>100000</v>
      </c>
      <c r="M12">
        <v>100000</v>
      </c>
      <c r="N12">
        <v>100000</v>
      </c>
      <c r="O12">
        <v>100000</v>
      </c>
      <c r="P12">
        <v>100000</v>
      </c>
      <c r="Q12">
        <v>100000</v>
      </c>
      <c r="R12">
        <v>100000</v>
      </c>
      <c r="S12">
        <v>100000</v>
      </c>
      <c r="T12">
        <v>100000</v>
      </c>
      <c r="U12">
        <v>100000</v>
      </c>
      <c r="V12">
        <v>100000</v>
      </c>
      <c r="W12">
        <v>100000</v>
      </c>
      <c r="X12">
        <v>100000</v>
      </c>
      <c r="Y12">
        <v>100000</v>
      </c>
      <c r="Z12">
        <v>1200000</v>
      </c>
      <c r="AA12">
        <v>1200000</v>
      </c>
    </row>
    <row r="13" spans="1:27" x14ac:dyDescent="0.3">
      <c r="A13" t="s">
        <v>38</v>
      </c>
      <c r="B13">
        <v>2296500</v>
      </c>
      <c r="C13">
        <v>2133595</v>
      </c>
      <c r="D13">
        <v>2359430</v>
      </c>
      <c r="E13">
        <v>2318165</v>
      </c>
      <c r="F13">
        <v>2422360</v>
      </c>
      <c r="G13">
        <v>1998243</v>
      </c>
      <c r="H13">
        <v>2390895</v>
      </c>
      <c r="I13">
        <v>2412288</v>
      </c>
      <c r="J13">
        <v>2485290</v>
      </c>
      <c r="K13">
        <v>2182814</v>
      </c>
      <c r="L13">
        <v>2548220</v>
      </c>
      <c r="M13">
        <v>2372283</v>
      </c>
      <c r="N13">
        <v>2611150</v>
      </c>
      <c r="O13">
        <v>2566649</v>
      </c>
      <c r="P13">
        <v>2674080</v>
      </c>
      <c r="Q13">
        <v>2217338</v>
      </c>
      <c r="R13">
        <v>2642615</v>
      </c>
      <c r="S13">
        <v>2665669</v>
      </c>
      <c r="T13">
        <v>2799940</v>
      </c>
      <c r="U13">
        <v>2610970</v>
      </c>
      <c r="V13">
        <v>2925800</v>
      </c>
      <c r="W13">
        <v>3024194</v>
      </c>
      <c r="X13">
        <v>3177520</v>
      </c>
      <c r="Y13">
        <v>2655530</v>
      </c>
      <c r="Z13">
        <v>31333800</v>
      </c>
      <c r="AA13">
        <v>29157738</v>
      </c>
    </row>
    <row r="14" spans="1:27" x14ac:dyDescent="0.3">
      <c r="A14" t="s">
        <v>39</v>
      </c>
      <c r="B14">
        <v>574125</v>
      </c>
      <c r="C14">
        <v>533399</v>
      </c>
      <c r="D14">
        <v>589858</v>
      </c>
      <c r="E14">
        <v>579541</v>
      </c>
      <c r="F14">
        <v>605590</v>
      </c>
      <c r="G14">
        <v>499561</v>
      </c>
      <c r="H14">
        <v>597724</v>
      </c>
      <c r="I14">
        <v>603072</v>
      </c>
      <c r="J14">
        <v>621322</v>
      </c>
      <c r="K14">
        <v>545704</v>
      </c>
      <c r="L14">
        <v>637055</v>
      </c>
      <c r="M14">
        <v>593071</v>
      </c>
      <c r="N14">
        <v>652788</v>
      </c>
      <c r="O14">
        <v>641662</v>
      </c>
      <c r="P14">
        <v>668520</v>
      </c>
      <c r="Q14">
        <v>554334</v>
      </c>
      <c r="R14">
        <v>660654</v>
      </c>
      <c r="S14">
        <v>666417</v>
      </c>
      <c r="T14">
        <v>699985</v>
      </c>
      <c r="U14">
        <v>652742</v>
      </c>
      <c r="V14">
        <v>731450</v>
      </c>
      <c r="W14">
        <v>756048</v>
      </c>
      <c r="X14">
        <v>794380</v>
      </c>
      <c r="Y14">
        <v>663882</v>
      </c>
      <c r="Z14">
        <v>7833451</v>
      </c>
      <c r="AA14">
        <v>7289433</v>
      </c>
    </row>
    <row r="15" spans="1:27" x14ac:dyDescent="0.3">
      <c r="A15" t="s">
        <v>40</v>
      </c>
      <c r="B15">
        <v>1722375</v>
      </c>
      <c r="C15">
        <v>1600196</v>
      </c>
      <c r="D15">
        <v>1769572</v>
      </c>
      <c r="E15">
        <v>1738624</v>
      </c>
      <c r="F15">
        <v>1816770</v>
      </c>
      <c r="G15">
        <v>1498682</v>
      </c>
      <c r="H15">
        <v>1793171</v>
      </c>
      <c r="I15">
        <v>1809216</v>
      </c>
      <c r="J15">
        <v>1863968</v>
      </c>
      <c r="K15">
        <v>1637110</v>
      </c>
      <c r="L15">
        <v>1911165</v>
      </c>
      <c r="M15">
        <v>1779212</v>
      </c>
      <c r="N15">
        <v>1958362</v>
      </c>
      <c r="O15">
        <v>1924987</v>
      </c>
      <c r="P15">
        <v>2005560</v>
      </c>
      <c r="Q15">
        <v>1663004</v>
      </c>
      <c r="R15">
        <v>1981961</v>
      </c>
      <c r="S15">
        <v>1999252</v>
      </c>
      <c r="T15">
        <v>2099955</v>
      </c>
      <c r="U15">
        <v>1958228</v>
      </c>
      <c r="V15">
        <v>2194350</v>
      </c>
      <c r="W15">
        <v>2268146</v>
      </c>
      <c r="X15">
        <v>2383140</v>
      </c>
      <c r="Y15">
        <v>1991648</v>
      </c>
      <c r="Z15">
        <v>23500349</v>
      </c>
      <c r="AA15">
        <v>21868305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"/>
  <sheetViews>
    <sheetView workbookViewId="0"/>
  </sheetViews>
  <sheetFormatPr defaultRowHeight="14.4" x14ac:dyDescent="0.3"/>
  <cols>
    <col min="1" max="27" width="14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9500000</v>
      </c>
      <c r="C2">
        <v>9500000</v>
      </c>
      <c r="D2">
        <v>9690000</v>
      </c>
      <c r="E2">
        <v>9883800</v>
      </c>
      <c r="F2">
        <v>9880000</v>
      </c>
      <c r="G2">
        <v>9484800</v>
      </c>
      <c r="H2">
        <v>9785000</v>
      </c>
      <c r="I2">
        <v>10078550</v>
      </c>
      <c r="J2">
        <v>10070000</v>
      </c>
      <c r="K2">
        <v>9868600</v>
      </c>
      <c r="L2">
        <v>10260000</v>
      </c>
      <c r="M2">
        <v>10260000</v>
      </c>
      <c r="N2">
        <v>10450000</v>
      </c>
      <c r="O2">
        <v>10659000</v>
      </c>
      <c r="P2">
        <v>10640000</v>
      </c>
      <c r="Q2">
        <v>10214400</v>
      </c>
      <c r="R2">
        <v>10545000</v>
      </c>
      <c r="S2">
        <v>10861350</v>
      </c>
      <c r="T2">
        <v>11020000</v>
      </c>
      <c r="U2">
        <v>11020000</v>
      </c>
      <c r="V2">
        <v>11400000</v>
      </c>
      <c r="W2">
        <v>11856000</v>
      </c>
      <c r="X2">
        <v>12160000</v>
      </c>
      <c r="Y2">
        <v>11673600</v>
      </c>
      <c r="Z2">
        <v>125400000</v>
      </c>
      <c r="AA2">
        <v>125360100</v>
      </c>
    </row>
    <row r="3" spans="1:27" x14ac:dyDescent="0.3">
      <c r="A3" t="s">
        <v>28</v>
      </c>
      <c r="B3">
        <v>5700000</v>
      </c>
      <c r="C3">
        <v>5747500</v>
      </c>
      <c r="D3">
        <v>5814000</v>
      </c>
      <c r="E3">
        <v>5979699</v>
      </c>
      <c r="F3">
        <v>5928000</v>
      </c>
      <c r="G3">
        <v>5738304</v>
      </c>
      <c r="H3">
        <v>5871000</v>
      </c>
      <c r="I3">
        <v>6097523</v>
      </c>
      <c r="J3">
        <v>6042000</v>
      </c>
      <c r="K3">
        <v>5970503</v>
      </c>
      <c r="L3">
        <v>6156000</v>
      </c>
      <c r="M3">
        <v>6207300</v>
      </c>
      <c r="N3">
        <v>6270000</v>
      </c>
      <c r="O3">
        <v>6448695</v>
      </c>
      <c r="P3">
        <v>6384000</v>
      </c>
      <c r="Q3">
        <v>6179712</v>
      </c>
      <c r="R3">
        <v>6327000</v>
      </c>
      <c r="S3">
        <v>6571117</v>
      </c>
      <c r="T3">
        <v>6612000</v>
      </c>
      <c r="U3">
        <v>6667100</v>
      </c>
      <c r="V3">
        <v>6840000</v>
      </c>
      <c r="W3">
        <v>7172880</v>
      </c>
      <c r="X3">
        <v>7296000</v>
      </c>
      <c r="Y3">
        <v>7062528</v>
      </c>
      <c r="Z3">
        <v>75240000</v>
      </c>
      <c r="AA3">
        <v>75842861</v>
      </c>
    </row>
    <row r="4" spans="1:27" x14ac:dyDescent="0.3">
      <c r="A4" t="s">
        <v>29</v>
      </c>
      <c r="B4">
        <v>3800000</v>
      </c>
      <c r="C4">
        <v>3752500</v>
      </c>
      <c r="D4">
        <v>3876000</v>
      </c>
      <c r="E4">
        <v>3904101</v>
      </c>
      <c r="F4">
        <v>3952000</v>
      </c>
      <c r="G4">
        <v>3746496</v>
      </c>
      <c r="H4">
        <v>3914000</v>
      </c>
      <c r="I4">
        <v>3981027</v>
      </c>
      <c r="J4">
        <v>4028000</v>
      </c>
      <c r="K4">
        <v>3898097</v>
      </c>
      <c r="L4">
        <v>4104000</v>
      </c>
      <c r="M4">
        <v>4052700</v>
      </c>
      <c r="N4">
        <v>4180000</v>
      </c>
      <c r="O4">
        <v>4210305</v>
      </c>
      <c r="P4">
        <v>4256000</v>
      </c>
      <c r="Q4">
        <v>4034688</v>
      </c>
      <c r="R4">
        <v>4218000</v>
      </c>
      <c r="S4">
        <v>4290233</v>
      </c>
      <c r="T4">
        <v>4408000</v>
      </c>
      <c r="U4">
        <v>4352900</v>
      </c>
      <c r="V4">
        <v>4560000</v>
      </c>
      <c r="W4">
        <v>4683120</v>
      </c>
      <c r="X4">
        <v>4864000</v>
      </c>
      <c r="Y4">
        <v>4611072</v>
      </c>
      <c r="Z4">
        <v>50160000</v>
      </c>
      <c r="AA4">
        <v>49517239</v>
      </c>
    </row>
    <row r="5" spans="1:27" x14ac:dyDescent="0.3">
      <c r="A5" t="s">
        <v>30</v>
      </c>
      <c r="B5">
        <v>1140000</v>
      </c>
      <c r="C5">
        <v>1162800</v>
      </c>
      <c r="D5">
        <v>1162800</v>
      </c>
      <c r="E5">
        <v>1186056</v>
      </c>
      <c r="F5">
        <v>1185600</v>
      </c>
      <c r="G5">
        <v>1209312</v>
      </c>
      <c r="H5">
        <v>1174200</v>
      </c>
      <c r="I5">
        <v>1197684</v>
      </c>
      <c r="J5">
        <v>1208400</v>
      </c>
      <c r="K5">
        <v>1232568</v>
      </c>
      <c r="L5">
        <v>1231200</v>
      </c>
      <c r="M5">
        <v>1255824</v>
      </c>
      <c r="N5">
        <v>1254000</v>
      </c>
      <c r="O5">
        <v>1279080</v>
      </c>
      <c r="P5">
        <v>1276800</v>
      </c>
      <c r="Q5">
        <v>1302336</v>
      </c>
      <c r="R5">
        <v>1265400</v>
      </c>
      <c r="S5">
        <v>1290708</v>
      </c>
      <c r="T5">
        <v>1322400</v>
      </c>
      <c r="U5">
        <v>1348848</v>
      </c>
      <c r="V5">
        <v>1368000</v>
      </c>
      <c r="W5">
        <v>1395360</v>
      </c>
      <c r="X5">
        <v>1459200</v>
      </c>
      <c r="Y5">
        <v>1488384</v>
      </c>
      <c r="Z5">
        <v>15048000</v>
      </c>
      <c r="AA5">
        <v>15348960</v>
      </c>
    </row>
    <row r="6" spans="1:27" x14ac:dyDescent="0.3">
      <c r="A6" t="s">
        <v>31</v>
      </c>
      <c r="B6">
        <v>500000</v>
      </c>
      <c r="C6">
        <v>500000</v>
      </c>
      <c r="D6">
        <v>500000</v>
      </c>
      <c r="E6">
        <v>500000</v>
      </c>
      <c r="F6">
        <v>500000</v>
      </c>
      <c r="G6">
        <v>500000</v>
      </c>
      <c r="H6">
        <v>500000</v>
      </c>
      <c r="I6">
        <v>500000</v>
      </c>
      <c r="J6">
        <v>500000</v>
      </c>
      <c r="K6">
        <v>500000</v>
      </c>
      <c r="L6">
        <v>500000</v>
      </c>
      <c r="M6">
        <v>500000</v>
      </c>
      <c r="N6">
        <v>500000</v>
      </c>
      <c r="O6">
        <v>500000</v>
      </c>
      <c r="P6">
        <v>500000</v>
      </c>
      <c r="Q6">
        <v>500000</v>
      </c>
      <c r="R6">
        <v>500000</v>
      </c>
      <c r="S6">
        <v>500000</v>
      </c>
      <c r="T6">
        <v>500000</v>
      </c>
      <c r="U6">
        <v>500000</v>
      </c>
      <c r="V6">
        <v>500000</v>
      </c>
      <c r="W6">
        <v>500000</v>
      </c>
      <c r="X6">
        <v>500000</v>
      </c>
      <c r="Y6">
        <v>500000</v>
      </c>
      <c r="Z6">
        <v>6000000</v>
      </c>
      <c r="AA6">
        <v>6000000</v>
      </c>
    </row>
    <row r="7" spans="1:27" x14ac:dyDescent="0.3">
      <c r="A7" t="s">
        <v>32</v>
      </c>
      <c r="B7">
        <v>114000</v>
      </c>
      <c r="C7">
        <v>117420</v>
      </c>
      <c r="D7">
        <v>116280</v>
      </c>
      <c r="E7">
        <v>119768</v>
      </c>
      <c r="F7">
        <v>118560</v>
      </c>
      <c r="G7">
        <v>122117</v>
      </c>
      <c r="H7">
        <v>117420</v>
      </c>
      <c r="I7">
        <v>120943</v>
      </c>
      <c r="J7">
        <v>120840</v>
      </c>
      <c r="K7">
        <v>124465</v>
      </c>
      <c r="L7">
        <v>123120</v>
      </c>
      <c r="M7">
        <v>126814</v>
      </c>
      <c r="N7">
        <v>125400</v>
      </c>
      <c r="O7">
        <v>129162</v>
      </c>
      <c r="P7">
        <v>127680</v>
      </c>
      <c r="Q7">
        <v>131510</v>
      </c>
      <c r="R7">
        <v>126540</v>
      </c>
      <c r="S7">
        <v>130336</v>
      </c>
      <c r="T7">
        <v>132240</v>
      </c>
      <c r="U7">
        <v>136207</v>
      </c>
      <c r="V7">
        <v>136800</v>
      </c>
      <c r="W7">
        <v>140904</v>
      </c>
      <c r="X7">
        <v>145920</v>
      </c>
      <c r="Y7">
        <v>150298</v>
      </c>
      <c r="Z7">
        <v>1504800</v>
      </c>
      <c r="AA7">
        <v>1549944</v>
      </c>
    </row>
    <row r="8" spans="1:27" x14ac:dyDescent="0.3">
      <c r="A8" t="s">
        <v>33</v>
      </c>
      <c r="B8">
        <v>380000</v>
      </c>
      <c r="C8">
        <v>399000</v>
      </c>
      <c r="D8">
        <v>387600</v>
      </c>
      <c r="E8">
        <v>406980</v>
      </c>
      <c r="F8">
        <v>395200</v>
      </c>
      <c r="G8">
        <v>414960</v>
      </c>
      <c r="H8">
        <v>391400</v>
      </c>
      <c r="I8">
        <v>410970</v>
      </c>
      <c r="J8">
        <v>402800</v>
      </c>
      <c r="K8">
        <v>422940</v>
      </c>
      <c r="L8">
        <v>410400</v>
      </c>
      <c r="M8">
        <v>430920</v>
      </c>
      <c r="N8">
        <v>418000</v>
      </c>
      <c r="O8">
        <v>438900</v>
      </c>
      <c r="P8">
        <v>425600</v>
      </c>
      <c r="Q8">
        <v>446880</v>
      </c>
      <c r="R8">
        <v>421800</v>
      </c>
      <c r="S8">
        <v>442890</v>
      </c>
      <c r="T8">
        <v>440800</v>
      </c>
      <c r="U8">
        <v>462840</v>
      </c>
      <c r="V8">
        <v>456000</v>
      </c>
      <c r="W8">
        <v>478800</v>
      </c>
      <c r="X8">
        <v>486400</v>
      </c>
      <c r="Y8">
        <v>510720</v>
      </c>
      <c r="Z8">
        <v>5016000</v>
      </c>
      <c r="AA8">
        <v>5266800</v>
      </c>
    </row>
    <row r="9" spans="1:27" x14ac:dyDescent="0.3">
      <c r="A9" t="s">
        <v>34</v>
      </c>
      <c r="B9">
        <v>237500</v>
      </c>
      <c r="C9">
        <v>244625</v>
      </c>
      <c r="D9">
        <v>242250</v>
      </c>
      <c r="E9">
        <v>249518</v>
      </c>
      <c r="F9">
        <v>247000</v>
      </c>
      <c r="G9">
        <v>254410</v>
      </c>
      <c r="H9">
        <v>244625</v>
      </c>
      <c r="I9">
        <v>251964</v>
      </c>
      <c r="J9">
        <v>251750</v>
      </c>
      <c r="K9">
        <v>259302</v>
      </c>
      <c r="L9">
        <v>256500</v>
      </c>
      <c r="M9">
        <v>264195</v>
      </c>
      <c r="N9">
        <v>261250</v>
      </c>
      <c r="O9">
        <v>269088</v>
      </c>
      <c r="P9">
        <v>266000</v>
      </c>
      <c r="Q9">
        <v>273980</v>
      </c>
      <c r="R9">
        <v>263625</v>
      </c>
      <c r="S9">
        <v>271534</v>
      </c>
      <c r="T9">
        <v>275500</v>
      </c>
      <c r="U9">
        <v>283765</v>
      </c>
      <c r="V9">
        <v>285000</v>
      </c>
      <c r="W9">
        <v>293550</v>
      </c>
      <c r="X9">
        <v>304000</v>
      </c>
      <c r="Y9">
        <v>313120</v>
      </c>
      <c r="Z9">
        <v>3135000</v>
      </c>
      <c r="AA9">
        <v>3229051</v>
      </c>
    </row>
    <row r="10" spans="1:27" x14ac:dyDescent="0.3">
      <c r="A10" t="s">
        <v>35</v>
      </c>
      <c r="B10">
        <v>1428500</v>
      </c>
      <c r="C10">
        <v>1328655</v>
      </c>
      <c r="D10">
        <v>1467070</v>
      </c>
      <c r="E10">
        <v>1441779</v>
      </c>
      <c r="F10">
        <v>1505640</v>
      </c>
      <c r="G10">
        <v>1245697</v>
      </c>
      <c r="H10">
        <v>1486355</v>
      </c>
      <c r="I10">
        <v>1499466</v>
      </c>
      <c r="J10">
        <v>1544210</v>
      </c>
      <c r="K10">
        <v>1358822</v>
      </c>
      <c r="L10">
        <v>1582780</v>
      </c>
      <c r="M10">
        <v>1474947</v>
      </c>
      <c r="N10">
        <v>1621350</v>
      </c>
      <c r="O10">
        <v>1594075</v>
      </c>
      <c r="P10">
        <v>1659920</v>
      </c>
      <c r="Q10">
        <v>1379982</v>
      </c>
      <c r="R10">
        <v>1640635</v>
      </c>
      <c r="S10">
        <v>1654765</v>
      </c>
      <c r="T10">
        <v>1737060</v>
      </c>
      <c r="U10">
        <v>1621240</v>
      </c>
      <c r="V10">
        <v>1814200</v>
      </c>
      <c r="W10">
        <v>1874506</v>
      </c>
      <c r="X10">
        <v>1968480</v>
      </c>
      <c r="Y10">
        <v>1648550</v>
      </c>
      <c r="Z10">
        <v>19456200</v>
      </c>
      <c r="AA10">
        <v>18122484</v>
      </c>
    </row>
    <row r="11" spans="1:27" x14ac:dyDescent="0.3">
      <c r="A11" t="s">
        <v>36</v>
      </c>
      <c r="B11">
        <v>250000</v>
      </c>
      <c r="C11">
        <v>250000</v>
      </c>
      <c r="D11">
        <v>250000</v>
      </c>
      <c r="E11">
        <v>250000</v>
      </c>
      <c r="F11">
        <v>250000</v>
      </c>
      <c r="G11">
        <v>250000</v>
      </c>
      <c r="H11">
        <v>250000</v>
      </c>
      <c r="I11">
        <v>250000</v>
      </c>
      <c r="J11">
        <v>250000</v>
      </c>
      <c r="K11">
        <v>250000</v>
      </c>
      <c r="L11">
        <v>250000</v>
      </c>
      <c r="M11">
        <v>250000</v>
      </c>
      <c r="N11">
        <v>250000</v>
      </c>
      <c r="O11">
        <v>250000</v>
      </c>
      <c r="P11">
        <v>250000</v>
      </c>
      <c r="Q11">
        <v>250000</v>
      </c>
      <c r="R11">
        <v>250000</v>
      </c>
      <c r="S11">
        <v>250000</v>
      </c>
      <c r="T11">
        <v>250000</v>
      </c>
      <c r="U11">
        <v>250000</v>
      </c>
      <c r="V11">
        <v>250000</v>
      </c>
      <c r="W11">
        <v>250000</v>
      </c>
      <c r="X11">
        <v>250000</v>
      </c>
      <c r="Y11">
        <v>250000</v>
      </c>
      <c r="Z11">
        <v>3000000</v>
      </c>
      <c r="AA11">
        <v>3000000</v>
      </c>
    </row>
    <row r="12" spans="1:27" x14ac:dyDescent="0.3">
      <c r="A12" t="s">
        <v>37</v>
      </c>
      <c r="B12">
        <v>100000</v>
      </c>
      <c r="C12">
        <v>100000</v>
      </c>
      <c r="D12">
        <v>100000</v>
      </c>
      <c r="E12">
        <v>100000</v>
      </c>
      <c r="F12">
        <v>100000</v>
      </c>
      <c r="G12">
        <v>100000</v>
      </c>
      <c r="H12">
        <v>100000</v>
      </c>
      <c r="I12">
        <v>100000</v>
      </c>
      <c r="J12">
        <v>100000</v>
      </c>
      <c r="K12">
        <v>100000</v>
      </c>
      <c r="L12">
        <v>100000</v>
      </c>
      <c r="M12">
        <v>100000</v>
      </c>
      <c r="N12">
        <v>100000</v>
      </c>
      <c r="O12">
        <v>100000</v>
      </c>
      <c r="P12">
        <v>100000</v>
      </c>
      <c r="Q12">
        <v>100000</v>
      </c>
      <c r="R12">
        <v>100000</v>
      </c>
      <c r="S12">
        <v>100000</v>
      </c>
      <c r="T12">
        <v>100000</v>
      </c>
      <c r="U12">
        <v>100000</v>
      </c>
      <c r="V12">
        <v>100000</v>
      </c>
      <c r="W12">
        <v>100000</v>
      </c>
      <c r="X12">
        <v>100000</v>
      </c>
      <c r="Y12">
        <v>100000</v>
      </c>
      <c r="Z12">
        <v>1200000</v>
      </c>
      <c r="AA12">
        <v>1200000</v>
      </c>
    </row>
    <row r="13" spans="1:27" x14ac:dyDescent="0.3">
      <c r="A13" t="s">
        <v>38</v>
      </c>
      <c r="B13">
        <v>1078500</v>
      </c>
      <c r="C13">
        <v>978655</v>
      </c>
      <c r="D13">
        <v>1117070</v>
      </c>
      <c r="E13">
        <v>1091779</v>
      </c>
      <c r="F13">
        <v>1155640</v>
      </c>
      <c r="G13">
        <v>895697</v>
      </c>
      <c r="H13">
        <v>1136355</v>
      </c>
      <c r="I13">
        <v>1149466</v>
      </c>
      <c r="J13">
        <v>1194210</v>
      </c>
      <c r="K13">
        <v>1008822</v>
      </c>
      <c r="L13">
        <v>1232780</v>
      </c>
      <c r="M13">
        <v>1124947</v>
      </c>
      <c r="N13">
        <v>1271350</v>
      </c>
      <c r="O13">
        <v>1244075</v>
      </c>
      <c r="P13">
        <v>1309920</v>
      </c>
      <c r="Q13">
        <v>1029982</v>
      </c>
      <c r="R13">
        <v>1290635</v>
      </c>
      <c r="S13">
        <v>1304765</v>
      </c>
      <c r="T13">
        <v>1387060</v>
      </c>
      <c r="U13">
        <v>1271240</v>
      </c>
      <c r="V13">
        <v>1464200</v>
      </c>
      <c r="W13">
        <v>1524506</v>
      </c>
      <c r="X13">
        <v>1618480</v>
      </c>
      <c r="Y13">
        <v>1298550</v>
      </c>
      <c r="Z13">
        <v>15256200</v>
      </c>
      <c r="AA13">
        <v>13922484</v>
      </c>
    </row>
    <row r="14" spans="1:27" x14ac:dyDescent="0.3">
      <c r="A14" t="s">
        <v>39</v>
      </c>
      <c r="B14">
        <v>269625</v>
      </c>
      <c r="C14">
        <v>244664</v>
      </c>
      <c r="D14">
        <v>279268</v>
      </c>
      <c r="E14">
        <v>272945</v>
      </c>
      <c r="F14">
        <v>288910</v>
      </c>
      <c r="G14">
        <v>223924</v>
      </c>
      <c r="H14">
        <v>284089</v>
      </c>
      <c r="I14">
        <v>287366</v>
      </c>
      <c r="J14">
        <v>298552</v>
      </c>
      <c r="K14">
        <v>252206</v>
      </c>
      <c r="L14">
        <v>308195</v>
      </c>
      <c r="M14">
        <v>281237</v>
      </c>
      <c r="N14">
        <v>317838</v>
      </c>
      <c r="O14">
        <v>311019</v>
      </c>
      <c r="P14">
        <v>327480</v>
      </c>
      <c r="Q14">
        <v>257496</v>
      </c>
      <c r="R14">
        <v>322659</v>
      </c>
      <c r="S14">
        <v>326191</v>
      </c>
      <c r="T14">
        <v>346765</v>
      </c>
      <c r="U14">
        <v>317810</v>
      </c>
      <c r="V14">
        <v>366050</v>
      </c>
      <c r="W14">
        <v>381126</v>
      </c>
      <c r="X14">
        <v>404620</v>
      </c>
      <c r="Y14">
        <v>324638</v>
      </c>
      <c r="Z14">
        <v>3814051</v>
      </c>
      <c r="AA14">
        <v>3480622</v>
      </c>
    </row>
    <row r="15" spans="1:27" x14ac:dyDescent="0.3">
      <c r="A15" t="s">
        <v>40</v>
      </c>
      <c r="B15">
        <v>808875</v>
      </c>
      <c r="C15">
        <v>733991</v>
      </c>
      <c r="D15">
        <v>837802</v>
      </c>
      <c r="E15">
        <v>818834</v>
      </c>
      <c r="F15">
        <v>866730</v>
      </c>
      <c r="G15">
        <v>671773</v>
      </c>
      <c r="H15">
        <v>852266</v>
      </c>
      <c r="I15">
        <v>862100</v>
      </c>
      <c r="J15">
        <v>895658</v>
      </c>
      <c r="K15">
        <v>756616</v>
      </c>
      <c r="L15">
        <v>924585</v>
      </c>
      <c r="M15">
        <v>843710</v>
      </c>
      <c r="N15">
        <v>953512</v>
      </c>
      <c r="O15">
        <v>933056</v>
      </c>
      <c r="P15">
        <v>982440</v>
      </c>
      <c r="Q15">
        <v>772486</v>
      </c>
      <c r="R15">
        <v>967976</v>
      </c>
      <c r="S15">
        <v>978574</v>
      </c>
      <c r="T15">
        <v>1040295</v>
      </c>
      <c r="U15">
        <v>953430</v>
      </c>
      <c r="V15">
        <v>1098150</v>
      </c>
      <c r="W15">
        <v>1143380</v>
      </c>
      <c r="X15">
        <v>1213860</v>
      </c>
      <c r="Y15">
        <v>973912</v>
      </c>
      <c r="Z15">
        <v>11442149</v>
      </c>
      <c r="AA15">
        <v>10441862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5"/>
  <sheetViews>
    <sheetView workbookViewId="0"/>
  </sheetViews>
  <sheetFormatPr defaultRowHeight="14.4" x14ac:dyDescent="0.3"/>
  <cols>
    <col min="1" max="27" width="14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11000000</v>
      </c>
      <c r="C2">
        <v>11000000</v>
      </c>
      <c r="D2">
        <v>11220000</v>
      </c>
      <c r="E2">
        <v>11444400</v>
      </c>
      <c r="F2">
        <v>11440000</v>
      </c>
      <c r="G2">
        <v>10982400</v>
      </c>
      <c r="H2">
        <v>11330000</v>
      </c>
      <c r="I2">
        <v>11669900</v>
      </c>
      <c r="J2">
        <v>11660000</v>
      </c>
      <c r="K2">
        <v>11426800</v>
      </c>
      <c r="L2">
        <v>11880000</v>
      </c>
      <c r="M2">
        <v>11880000</v>
      </c>
      <c r="N2">
        <v>12100000</v>
      </c>
      <c r="O2">
        <v>12342000</v>
      </c>
      <c r="P2">
        <v>12320000</v>
      </c>
      <c r="Q2">
        <v>11827200</v>
      </c>
      <c r="R2">
        <v>12210000</v>
      </c>
      <c r="S2">
        <v>12576300</v>
      </c>
      <c r="T2">
        <v>12760000</v>
      </c>
      <c r="U2">
        <v>12760000</v>
      </c>
      <c r="V2">
        <v>13200000</v>
      </c>
      <c r="W2">
        <v>13728000</v>
      </c>
      <c r="X2">
        <v>14080000</v>
      </c>
      <c r="Y2">
        <v>13516800</v>
      </c>
      <c r="Z2">
        <v>145200000</v>
      </c>
      <c r="AA2">
        <v>145153800</v>
      </c>
    </row>
    <row r="3" spans="1:27" x14ac:dyDescent="0.3">
      <c r="A3" t="s">
        <v>28</v>
      </c>
      <c r="B3">
        <v>6600000</v>
      </c>
      <c r="C3">
        <v>6655000</v>
      </c>
      <c r="D3">
        <v>6732000</v>
      </c>
      <c r="E3">
        <v>6923862</v>
      </c>
      <c r="F3">
        <v>6864000</v>
      </c>
      <c r="G3">
        <v>6644352</v>
      </c>
      <c r="H3">
        <v>6798000</v>
      </c>
      <c r="I3">
        <v>7060290</v>
      </c>
      <c r="J3">
        <v>6996000</v>
      </c>
      <c r="K3">
        <v>6913214</v>
      </c>
      <c r="L3">
        <v>7128000</v>
      </c>
      <c r="M3">
        <v>7187400</v>
      </c>
      <c r="N3">
        <v>7260000</v>
      </c>
      <c r="O3">
        <v>7466910</v>
      </c>
      <c r="P3">
        <v>7392000</v>
      </c>
      <c r="Q3">
        <v>7155456</v>
      </c>
      <c r="R3">
        <v>7326000</v>
      </c>
      <c r="S3">
        <v>7608662</v>
      </c>
      <c r="T3">
        <v>7656000</v>
      </c>
      <c r="U3">
        <v>7719800</v>
      </c>
      <c r="V3">
        <v>7920000</v>
      </c>
      <c r="W3">
        <v>8305440</v>
      </c>
      <c r="X3">
        <v>8448000</v>
      </c>
      <c r="Y3">
        <v>8177664</v>
      </c>
      <c r="Z3">
        <v>87120000</v>
      </c>
      <c r="AA3">
        <v>87818050</v>
      </c>
    </row>
    <row r="4" spans="1:27" x14ac:dyDescent="0.3">
      <c r="A4" t="s">
        <v>29</v>
      </c>
      <c r="B4">
        <v>4400000</v>
      </c>
      <c r="C4">
        <v>4345000</v>
      </c>
      <c r="D4">
        <v>4488000</v>
      </c>
      <c r="E4">
        <v>4520538</v>
      </c>
      <c r="F4">
        <v>4576000</v>
      </c>
      <c r="G4">
        <v>4338048</v>
      </c>
      <c r="H4">
        <v>4532000</v>
      </c>
      <c r="I4">
        <v>4609610</v>
      </c>
      <c r="J4">
        <v>4664000</v>
      </c>
      <c r="K4">
        <v>4513586</v>
      </c>
      <c r="L4">
        <v>4752000</v>
      </c>
      <c r="M4">
        <v>4692600</v>
      </c>
      <c r="N4">
        <v>4840000</v>
      </c>
      <c r="O4">
        <v>4875090</v>
      </c>
      <c r="P4">
        <v>4928000</v>
      </c>
      <c r="Q4">
        <v>4671744</v>
      </c>
      <c r="R4">
        <v>4884000</v>
      </c>
      <c r="S4">
        <v>4967638</v>
      </c>
      <c r="T4">
        <v>5104000</v>
      </c>
      <c r="U4">
        <v>5040200</v>
      </c>
      <c r="V4">
        <v>5280000</v>
      </c>
      <c r="W4">
        <v>5422560</v>
      </c>
      <c r="X4">
        <v>5632000</v>
      </c>
      <c r="Y4">
        <v>5339136</v>
      </c>
      <c r="Z4">
        <v>58080000</v>
      </c>
      <c r="AA4">
        <v>57335750</v>
      </c>
    </row>
    <row r="5" spans="1:27" x14ac:dyDescent="0.3">
      <c r="A5" t="s">
        <v>30</v>
      </c>
      <c r="B5">
        <v>1320000</v>
      </c>
      <c r="C5">
        <v>1346400</v>
      </c>
      <c r="D5">
        <v>1346400</v>
      </c>
      <c r="E5">
        <v>1373328</v>
      </c>
      <c r="F5">
        <v>1372800</v>
      </c>
      <c r="G5">
        <v>1400256</v>
      </c>
      <c r="H5">
        <v>1359600</v>
      </c>
      <c r="I5">
        <v>1386792</v>
      </c>
      <c r="J5">
        <v>1399200</v>
      </c>
      <c r="K5">
        <v>1427184</v>
      </c>
      <c r="L5">
        <v>1425600</v>
      </c>
      <c r="M5">
        <v>1454112</v>
      </c>
      <c r="N5">
        <v>1452000</v>
      </c>
      <c r="O5">
        <v>1481040</v>
      </c>
      <c r="P5">
        <v>1478400</v>
      </c>
      <c r="Q5">
        <v>1507968</v>
      </c>
      <c r="R5">
        <v>1465200</v>
      </c>
      <c r="S5">
        <v>1494504</v>
      </c>
      <c r="T5">
        <v>1531200</v>
      </c>
      <c r="U5">
        <v>1561824</v>
      </c>
      <c r="V5">
        <v>1584000</v>
      </c>
      <c r="W5">
        <v>1615680</v>
      </c>
      <c r="X5">
        <v>1689600</v>
      </c>
      <c r="Y5">
        <v>1723392</v>
      </c>
      <c r="Z5">
        <v>17424000</v>
      </c>
      <c r="AA5">
        <v>17772480</v>
      </c>
    </row>
    <row r="6" spans="1:27" x14ac:dyDescent="0.3">
      <c r="A6" t="s">
        <v>31</v>
      </c>
      <c r="B6">
        <v>500000</v>
      </c>
      <c r="C6">
        <v>500000</v>
      </c>
      <c r="D6">
        <v>500000</v>
      </c>
      <c r="E6">
        <v>500000</v>
      </c>
      <c r="F6">
        <v>500000</v>
      </c>
      <c r="G6">
        <v>500000</v>
      </c>
      <c r="H6">
        <v>500000</v>
      </c>
      <c r="I6">
        <v>500000</v>
      </c>
      <c r="J6">
        <v>500000</v>
      </c>
      <c r="K6">
        <v>500000</v>
      </c>
      <c r="L6">
        <v>500000</v>
      </c>
      <c r="M6">
        <v>500000</v>
      </c>
      <c r="N6">
        <v>500000</v>
      </c>
      <c r="O6">
        <v>500000</v>
      </c>
      <c r="P6">
        <v>500000</v>
      </c>
      <c r="Q6">
        <v>500000</v>
      </c>
      <c r="R6">
        <v>500000</v>
      </c>
      <c r="S6">
        <v>500000</v>
      </c>
      <c r="T6">
        <v>500000</v>
      </c>
      <c r="U6">
        <v>500000</v>
      </c>
      <c r="V6">
        <v>500000</v>
      </c>
      <c r="W6">
        <v>500000</v>
      </c>
      <c r="X6">
        <v>500000</v>
      </c>
      <c r="Y6">
        <v>500000</v>
      </c>
      <c r="Z6">
        <v>6000000</v>
      </c>
      <c r="AA6">
        <v>6000000</v>
      </c>
    </row>
    <row r="7" spans="1:27" x14ac:dyDescent="0.3">
      <c r="A7" t="s">
        <v>32</v>
      </c>
      <c r="B7">
        <v>132000</v>
      </c>
      <c r="C7">
        <v>135960</v>
      </c>
      <c r="D7">
        <v>134640</v>
      </c>
      <c r="E7">
        <v>138679</v>
      </c>
      <c r="F7">
        <v>137280</v>
      </c>
      <c r="G7">
        <v>141398</v>
      </c>
      <c r="H7">
        <v>135960</v>
      </c>
      <c r="I7">
        <v>140039</v>
      </c>
      <c r="J7">
        <v>139920</v>
      </c>
      <c r="K7">
        <v>144118</v>
      </c>
      <c r="L7">
        <v>142560</v>
      </c>
      <c r="M7">
        <v>146837</v>
      </c>
      <c r="N7">
        <v>145200</v>
      </c>
      <c r="O7">
        <v>149556</v>
      </c>
      <c r="P7">
        <v>147840</v>
      </c>
      <c r="Q7">
        <v>152275</v>
      </c>
      <c r="R7">
        <v>146520</v>
      </c>
      <c r="S7">
        <v>150916</v>
      </c>
      <c r="T7">
        <v>153120</v>
      </c>
      <c r="U7">
        <v>157714</v>
      </c>
      <c r="V7">
        <v>158400</v>
      </c>
      <c r="W7">
        <v>163152</v>
      </c>
      <c r="X7">
        <v>168960</v>
      </c>
      <c r="Y7">
        <v>174029</v>
      </c>
      <c r="Z7">
        <v>1742400</v>
      </c>
      <c r="AA7">
        <v>1794673</v>
      </c>
    </row>
    <row r="8" spans="1:27" x14ac:dyDescent="0.3">
      <c r="A8" t="s">
        <v>33</v>
      </c>
      <c r="B8">
        <v>440000</v>
      </c>
      <c r="C8">
        <v>462000</v>
      </c>
      <c r="D8">
        <v>448800</v>
      </c>
      <c r="E8">
        <v>471240</v>
      </c>
      <c r="F8">
        <v>457600</v>
      </c>
      <c r="G8">
        <v>480480</v>
      </c>
      <c r="H8">
        <v>453200</v>
      </c>
      <c r="I8">
        <v>475860</v>
      </c>
      <c r="J8">
        <v>466400</v>
      </c>
      <c r="K8">
        <v>489720</v>
      </c>
      <c r="L8">
        <v>475200</v>
      </c>
      <c r="M8">
        <v>498960</v>
      </c>
      <c r="N8">
        <v>484000</v>
      </c>
      <c r="O8">
        <v>508200</v>
      </c>
      <c r="P8">
        <v>492800</v>
      </c>
      <c r="Q8">
        <v>517440</v>
      </c>
      <c r="R8">
        <v>488400</v>
      </c>
      <c r="S8">
        <v>512820</v>
      </c>
      <c r="T8">
        <v>510400</v>
      </c>
      <c r="U8">
        <v>535920</v>
      </c>
      <c r="V8">
        <v>528000</v>
      </c>
      <c r="W8">
        <v>554400</v>
      </c>
      <c r="X8">
        <v>563200</v>
      </c>
      <c r="Y8">
        <v>591360</v>
      </c>
      <c r="Z8">
        <v>5808000</v>
      </c>
      <c r="AA8">
        <v>6098400</v>
      </c>
    </row>
    <row r="9" spans="1:27" x14ac:dyDescent="0.3">
      <c r="A9" t="s">
        <v>34</v>
      </c>
      <c r="B9">
        <v>275000</v>
      </c>
      <c r="C9">
        <v>283250</v>
      </c>
      <c r="D9">
        <v>280500</v>
      </c>
      <c r="E9">
        <v>288915</v>
      </c>
      <c r="F9">
        <v>286000</v>
      </c>
      <c r="G9">
        <v>294580</v>
      </c>
      <c r="H9">
        <v>283250</v>
      </c>
      <c r="I9">
        <v>291748</v>
      </c>
      <c r="J9">
        <v>291500</v>
      </c>
      <c r="K9">
        <v>300245</v>
      </c>
      <c r="L9">
        <v>297000</v>
      </c>
      <c r="M9">
        <v>305910</v>
      </c>
      <c r="N9">
        <v>302500</v>
      </c>
      <c r="O9">
        <v>311575</v>
      </c>
      <c r="P9">
        <v>308000</v>
      </c>
      <c r="Q9">
        <v>317240</v>
      </c>
      <c r="R9">
        <v>305250</v>
      </c>
      <c r="S9">
        <v>314408</v>
      </c>
      <c r="T9">
        <v>319000</v>
      </c>
      <c r="U9">
        <v>328570</v>
      </c>
      <c r="V9">
        <v>330000</v>
      </c>
      <c r="W9">
        <v>339900</v>
      </c>
      <c r="X9">
        <v>352000</v>
      </c>
      <c r="Y9">
        <v>362560</v>
      </c>
      <c r="Z9">
        <v>3630000</v>
      </c>
      <c r="AA9">
        <v>3738901</v>
      </c>
    </row>
    <row r="10" spans="1:27" x14ac:dyDescent="0.3">
      <c r="A10" t="s">
        <v>35</v>
      </c>
      <c r="B10">
        <v>1733000</v>
      </c>
      <c r="C10">
        <v>1617390</v>
      </c>
      <c r="D10">
        <v>1777660</v>
      </c>
      <c r="E10">
        <v>1748376</v>
      </c>
      <c r="F10">
        <v>1822320</v>
      </c>
      <c r="G10">
        <v>1521334</v>
      </c>
      <c r="H10">
        <v>1799990</v>
      </c>
      <c r="I10">
        <v>1815171</v>
      </c>
      <c r="J10">
        <v>1866980</v>
      </c>
      <c r="K10">
        <v>1652319</v>
      </c>
      <c r="L10">
        <v>1911640</v>
      </c>
      <c r="M10">
        <v>1786781</v>
      </c>
      <c r="N10">
        <v>1956300</v>
      </c>
      <c r="O10">
        <v>1924719</v>
      </c>
      <c r="P10">
        <v>2000960</v>
      </c>
      <c r="Q10">
        <v>1676821</v>
      </c>
      <c r="R10">
        <v>1978630</v>
      </c>
      <c r="S10">
        <v>1994990</v>
      </c>
      <c r="T10">
        <v>2090280</v>
      </c>
      <c r="U10">
        <v>1956172</v>
      </c>
      <c r="V10">
        <v>2179600</v>
      </c>
      <c r="W10">
        <v>2249428</v>
      </c>
      <c r="X10">
        <v>2358240</v>
      </c>
      <c r="Y10">
        <v>1987795</v>
      </c>
      <c r="Z10">
        <v>23475600</v>
      </c>
      <c r="AA10">
        <v>21931296</v>
      </c>
    </row>
    <row r="11" spans="1:27" x14ac:dyDescent="0.3">
      <c r="A11" t="s">
        <v>36</v>
      </c>
      <c r="B11">
        <v>250000</v>
      </c>
      <c r="C11">
        <v>250000</v>
      </c>
      <c r="D11">
        <v>250000</v>
      </c>
      <c r="E11">
        <v>250000</v>
      </c>
      <c r="F11">
        <v>250000</v>
      </c>
      <c r="G11">
        <v>250000</v>
      </c>
      <c r="H11">
        <v>250000</v>
      </c>
      <c r="I11">
        <v>250000</v>
      </c>
      <c r="J11">
        <v>250000</v>
      </c>
      <c r="K11">
        <v>250000</v>
      </c>
      <c r="L11">
        <v>250000</v>
      </c>
      <c r="M11">
        <v>250000</v>
      </c>
      <c r="N11">
        <v>250000</v>
      </c>
      <c r="O11">
        <v>250000</v>
      </c>
      <c r="P11">
        <v>250000</v>
      </c>
      <c r="Q11">
        <v>250000</v>
      </c>
      <c r="R11">
        <v>250000</v>
      </c>
      <c r="S11">
        <v>250000</v>
      </c>
      <c r="T11">
        <v>250000</v>
      </c>
      <c r="U11">
        <v>250000</v>
      </c>
      <c r="V11">
        <v>250000</v>
      </c>
      <c r="W11">
        <v>250000</v>
      </c>
      <c r="X11">
        <v>250000</v>
      </c>
      <c r="Y11">
        <v>250000</v>
      </c>
      <c r="Z11">
        <v>3000000</v>
      </c>
      <c r="AA11">
        <v>3000000</v>
      </c>
    </row>
    <row r="12" spans="1:27" x14ac:dyDescent="0.3">
      <c r="A12" t="s">
        <v>37</v>
      </c>
      <c r="B12">
        <v>100000</v>
      </c>
      <c r="C12">
        <v>100000</v>
      </c>
      <c r="D12">
        <v>100000</v>
      </c>
      <c r="E12">
        <v>100000</v>
      </c>
      <c r="F12">
        <v>100000</v>
      </c>
      <c r="G12">
        <v>100000</v>
      </c>
      <c r="H12">
        <v>100000</v>
      </c>
      <c r="I12">
        <v>100000</v>
      </c>
      <c r="J12">
        <v>100000</v>
      </c>
      <c r="K12">
        <v>100000</v>
      </c>
      <c r="L12">
        <v>100000</v>
      </c>
      <c r="M12">
        <v>100000</v>
      </c>
      <c r="N12">
        <v>100000</v>
      </c>
      <c r="O12">
        <v>100000</v>
      </c>
      <c r="P12">
        <v>100000</v>
      </c>
      <c r="Q12">
        <v>100000</v>
      </c>
      <c r="R12">
        <v>100000</v>
      </c>
      <c r="S12">
        <v>100000</v>
      </c>
      <c r="T12">
        <v>100000</v>
      </c>
      <c r="U12">
        <v>100000</v>
      </c>
      <c r="V12">
        <v>100000</v>
      </c>
      <c r="W12">
        <v>100000</v>
      </c>
      <c r="X12">
        <v>100000</v>
      </c>
      <c r="Y12">
        <v>100000</v>
      </c>
      <c r="Z12">
        <v>1200000</v>
      </c>
      <c r="AA12">
        <v>1200000</v>
      </c>
    </row>
    <row r="13" spans="1:27" x14ac:dyDescent="0.3">
      <c r="A13" t="s">
        <v>38</v>
      </c>
      <c r="B13">
        <v>1383000</v>
      </c>
      <c r="C13">
        <v>1267390</v>
      </c>
      <c r="D13">
        <v>1427660</v>
      </c>
      <c r="E13">
        <v>1398376</v>
      </c>
      <c r="F13">
        <v>1472320</v>
      </c>
      <c r="G13">
        <v>1171334</v>
      </c>
      <c r="H13">
        <v>1449990</v>
      </c>
      <c r="I13">
        <v>1465171</v>
      </c>
      <c r="J13">
        <v>1516980</v>
      </c>
      <c r="K13">
        <v>1302319</v>
      </c>
      <c r="L13">
        <v>1561640</v>
      </c>
      <c r="M13">
        <v>1436781</v>
      </c>
      <c r="N13">
        <v>1606300</v>
      </c>
      <c r="O13">
        <v>1574719</v>
      </c>
      <c r="P13">
        <v>1650960</v>
      </c>
      <c r="Q13">
        <v>1326821</v>
      </c>
      <c r="R13">
        <v>1628630</v>
      </c>
      <c r="S13">
        <v>1644990</v>
      </c>
      <c r="T13">
        <v>1740280</v>
      </c>
      <c r="U13">
        <v>1606172</v>
      </c>
      <c r="V13">
        <v>1829600</v>
      </c>
      <c r="W13">
        <v>1899428</v>
      </c>
      <c r="X13">
        <v>2008240</v>
      </c>
      <c r="Y13">
        <v>1637795</v>
      </c>
      <c r="Z13">
        <v>19275600</v>
      </c>
      <c r="AA13">
        <v>17731296</v>
      </c>
    </row>
    <row r="14" spans="1:27" x14ac:dyDescent="0.3">
      <c r="A14" t="s">
        <v>39</v>
      </c>
      <c r="B14">
        <v>345750</v>
      </c>
      <c r="C14">
        <v>316848</v>
      </c>
      <c r="D14">
        <v>356915</v>
      </c>
      <c r="E14">
        <v>349594</v>
      </c>
      <c r="F14">
        <v>368080</v>
      </c>
      <c r="G14">
        <v>292834</v>
      </c>
      <c r="H14">
        <v>362498</v>
      </c>
      <c r="I14">
        <v>366293</v>
      </c>
      <c r="J14">
        <v>379245</v>
      </c>
      <c r="K14">
        <v>325580</v>
      </c>
      <c r="L14">
        <v>390410</v>
      </c>
      <c r="M14">
        <v>359195</v>
      </c>
      <c r="N14">
        <v>401575</v>
      </c>
      <c r="O14">
        <v>393680</v>
      </c>
      <c r="P14">
        <v>412740</v>
      </c>
      <c r="Q14">
        <v>331705</v>
      </c>
      <c r="R14">
        <v>407158</v>
      </c>
      <c r="S14">
        <v>411248</v>
      </c>
      <c r="T14">
        <v>435070</v>
      </c>
      <c r="U14">
        <v>401543</v>
      </c>
      <c r="V14">
        <v>457400</v>
      </c>
      <c r="W14">
        <v>474857</v>
      </c>
      <c r="X14">
        <v>502060</v>
      </c>
      <c r="Y14">
        <v>409449</v>
      </c>
      <c r="Z14">
        <v>4818901</v>
      </c>
      <c r="AA14">
        <v>4432826</v>
      </c>
    </row>
    <row r="15" spans="1:27" x14ac:dyDescent="0.3">
      <c r="A15" t="s">
        <v>40</v>
      </c>
      <c r="B15">
        <v>1037250</v>
      </c>
      <c r="C15">
        <v>950542</v>
      </c>
      <c r="D15">
        <v>1070745</v>
      </c>
      <c r="E15">
        <v>1048782</v>
      </c>
      <c r="F15">
        <v>1104240</v>
      </c>
      <c r="G15">
        <v>878500</v>
      </c>
      <c r="H15">
        <v>1087492</v>
      </c>
      <c r="I15">
        <v>1098878</v>
      </c>
      <c r="J15">
        <v>1137735</v>
      </c>
      <c r="K15">
        <v>976739</v>
      </c>
      <c r="L15">
        <v>1171230</v>
      </c>
      <c r="M15">
        <v>1077586</v>
      </c>
      <c r="N15">
        <v>1204725</v>
      </c>
      <c r="O15">
        <v>1181039</v>
      </c>
      <c r="P15">
        <v>1238220</v>
      </c>
      <c r="Q15">
        <v>995116</v>
      </c>
      <c r="R15">
        <v>1221472</v>
      </c>
      <c r="S15">
        <v>1233742</v>
      </c>
      <c r="T15">
        <v>1305210</v>
      </c>
      <c r="U15">
        <v>1204629</v>
      </c>
      <c r="V15">
        <v>1372200</v>
      </c>
      <c r="W15">
        <v>1424571</v>
      </c>
      <c r="X15">
        <v>1506180</v>
      </c>
      <c r="Y15">
        <v>1228346</v>
      </c>
      <c r="Z15">
        <v>14456699</v>
      </c>
      <c r="AA15">
        <v>13298470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5"/>
  <sheetViews>
    <sheetView workbookViewId="0"/>
  </sheetViews>
  <sheetFormatPr defaultRowHeight="14.4" x14ac:dyDescent="0.3"/>
  <cols>
    <col min="1" max="27" width="14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>
        <v>14500000</v>
      </c>
      <c r="C2">
        <v>14500000</v>
      </c>
      <c r="D2">
        <v>14790000</v>
      </c>
      <c r="E2">
        <v>15085800</v>
      </c>
      <c r="F2">
        <v>15080000</v>
      </c>
      <c r="G2">
        <v>14476800</v>
      </c>
      <c r="H2">
        <v>14935000</v>
      </c>
      <c r="I2">
        <v>15383050</v>
      </c>
      <c r="J2">
        <v>15370000</v>
      </c>
      <c r="K2">
        <v>15062600</v>
      </c>
      <c r="L2">
        <v>15660000</v>
      </c>
      <c r="M2">
        <v>15660000</v>
      </c>
      <c r="N2">
        <v>15950000</v>
      </c>
      <c r="O2">
        <v>16269000</v>
      </c>
      <c r="P2">
        <v>16240000</v>
      </c>
      <c r="Q2">
        <v>15590400</v>
      </c>
      <c r="R2">
        <v>16095000</v>
      </c>
      <c r="S2">
        <v>16577850</v>
      </c>
      <c r="T2">
        <v>16820000</v>
      </c>
      <c r="U2">
        <v>16820000</v>
      </c>
      <c r="V2">
        <v>17400000</v>
      </c>
      <c r="W2">
        <v>18096000</v>
      </c>
      <c r="X2">
        <v>18560000</v>
      </c>
      <c r="Y2">
        <v>17817600</v>
      </c>
      <c r="Z2">
        <v>191400000</v>
      </c>
      <c r="AA2">
        <v>191339100</v>
      </c>
    </row>
    <row r="3" spans="1:27" x14ac:dyDescent="0.3">
      <c r="A3" t="s">
        <v>28</v>
      </c>
      <c r="B3">
        <v>8700000</v>
      </c>
      <c r="C3">
        <v>8772500</v>
      </c>
      <c r="D3">
        <v>8874000</v>
      </c>
      <c r="E3">
        <v>9126909</v>
      </c>
      <c r="F3">
        <v>9048000</v>
      </c>
      <c r="G3">
        <v>8758464</v>
      </c>
      <c r="H3">
        <v>8961000</v>
      </c>
      <c r="I3">
        <v>9306745</v>
      </c>
      <c r="J3">
        <v>9222000</v>
      </c>
      <c r="K3">
        <v>9112873</v>
      </c>
      <c r="L3">
        <v>9396000</v>
      </c>
      <c r="M3">
        <v>9474300</v>
      </c>
      <c r="N3">
        <v>9570000</v>
      </c>
      <c r="O3">
        <v>9842745</v>
      </c>
      <c r="P3">
        <v>9744000</v>
      </c>
      <c r="Q3">
        <v>9432192</v>
      </c>
      <c r="R3">
        <v>9657000</v>
      </c>
      <c r="S3">
        <v>10029599</v>
      </c>
      <c r="T3">
        <v>10092000</v>
      </c>
      <c r="U3">
        <v>10176100</v>
      </c>
      <c r="V3">
        <v>10440000</v>
      </c>
      <c r="W3">
        <v>10948080</v>
      </c>
      <c r="X3">
        <v>11136000</v>
      </c>
      <c r="Y3">
        <v>10779648</v>
      </c>
      <c r="Z3">
        <v>114840000</v>
      </c>
      <c r="AA3">
        <v>115760155</v>
      </c>
    </row>
    <row r="4" spans="1:27" x14ac:dyDescent="0.3">
      <c r="A4" t="s">
        <v>29</v>
      </c>
      <c r="B4">
        <v>5800000</v>
      </c>
      <c r="C4">
        <v>5727500</v>
      </c>
      <c r="D4">
        <v>5916000</v>
      </c>
      <c r="E4">
        <v>5958891</v>
      </c>
      <c r="F4">
        <v>6032000</v>
      </c>
      <c r="G4">
        <v>5718336</v>
      </c>
      <c r="H4">
        <v>5974000</v>
      </c>
      <c r="I4">
        <v>6076305</v>
      </c>
      <c r="J4">
        <v>6148000</v>
      </c>
      <c r="K4">
        <v>5949727</v>
      </c>
      <c r="L4">
        <v>6264000</v>
      </c>
      <c r="M4">
        <v>6185700</v>
      </c>
      <c r="N4">
        <v>6380000</v>
      </c>
      <c r="O4">
        <v>6426255</v>
      </c>
      <c r="P4">
        <v>6496000</v>
      </c>
      <c r="Q4">
        <v>6158208</v>
      </c>
      <c r="R4">
        <v>6438000</v>
      </c>
      <c r="S4">
        <v>6548251</v>
      </c>
      <c r="T4">
        <v>6728000</v>
      </c>
      <c r="U4">
        <v>6643900</v>
      </c>
      <c r="V4">
        <v>6960000</v>
      </c>
      <c r="W4">
        <v>7147920</v>
      </c>
      <c r="X4">
        <v>7424000</v>
      </c>
      <c r="Y4">
        <v>7037952</v>
      </c>
      <c r="Z4">
        <v>76560000</v>
      </c>
      <c r="AA4">
        <v>75578945</v>
      </c>
    </row>
    <row r="5" spans="1:27" x14ac:dyDescent="0.3">
      <c r="A5" t="s">
        <v>30</v>
      </c>
      <c r="B5">
        <v>1740000</v>
      </c>
      <c r="C5">
        <v>1774800</v>
      </c>
      <c r="D5">
        <v>1774800</v>
      </c>
      <c r="E5">
        <v>1810296</v>
      </c>
      <c r="F5">
        <v>1809600</v>
      </c>
      <c r="G5">
        <v>1845792</v>
      </c>
      <c r="H5">
        <v>1792200</v>
      </c>
      <c r="I5">
        <v>1828044</v>
      </c>
      <c r="J5">
        <v>1844400</v>
      </c>
      <c r="K5">
        <v>1881288</v>
      </c>
      <c r="L5">
        <v>1879200</v>
      </c>
      <c r="M5">
        <v>1916784</v>
      </c>
      <c r="N5">
        <v>1914000</v>
      </c>
      <c r="O5">
        <v>1952280</v>
      </c>
      <c r="P5">
        <v>1948800</v>
      </c>
      <c r="Q5">
        <v>1987776</v>
      </c>
      <c r="R5">
        <v>1931400</v>
      </c>
      <c r="S5">
        <v>1970028</v>
      </c>
      <c r="T5">
        <v>2018400</v>
      </c>
      <c r="U5">
        <v>2058768</v>
      </c>
      <c r="V5">
        <v>2088000</v>
      </c>
      <c r="W5">
        <v>2129760</v>
      </c>
      <c r="X5">
        <v>2227200</v>
      </c>
      <c r="Y5">
        <v>2271744</v>
      </c>
      <c r="Z5">
        <v>22968000</v>
      </c>
      <c r="AA5">
        <v>23427360</v>
      </c>
    </row>
    <row r="6" spans="1:27" x14ac:dyDescent="0.3">
      <c r="A6" t="s">
        <v>31</v>
      </c>
      <c r="B6">
        <v>500000</v>
      </c>
      <c r="C6">
        <v>500000</v>
      </c>
      <c r="D6">
        <v>500000</v>
      </c>
      <c r="E6">
        <v>500000</v>
      </c>
      <c r="F6">
        <v>500000</v>
      </c>
      <c r="G6">
        <v>500000</v>
      </c>
      <c r="H6">
        <v>500000</v>
      </c>
      <c r="I6">
        <v>500000</v>
      </c>
      <c r="J6">
        <v>500000</v>
      </c>
      <c r="K6">
        <v>500000</v>
      </c>
      <c r="L6">
        <v>500000</v>
      </c>
      <c r="M6">
        <v>500000</v>
      </c>
      <c r="N6">
        <v>500000</v>
      </c>
      <c r="O6">
        <v>500000</v>
      </c>
      <c r="P6">
        <v>500000</v>
      </c>
      <c r="Q6">
        <v>500000</v>
      </c>
      <c r="R6">
        <v>500000</v>
      </c>
      <c r="S6">
        <v>500000</v>
      </c>
      <c r="T6">
        <v>500000</v>
      </c>
      <c r="U6">
        <v>500000</v>
      </c>
      <c r="V6">
        <v>500000</v>
      </c>
      <c r="W6">
        <v>500000</v>
      </c>
      <c r="X6">
        <v>500000</v>
      </c>
      <c r="Y6">
        <v>500000</v>
      </c>
      <c r="Z6">
        <v>6000000</v>
      </c>
      <c r="AA6">
        <v>6000000</v>
      </c>
    </row>
    <row r="7" spans="1:27" x14ac:dyDescent="0.3">
      <c r="A7" t="s">
        <v>32</v>
      </c>
      <c r="B7">
        <v>174000</v>
      </c>
      <c r="C7">
        <v>179220</v>
      </c>
      <c r="D7">
        <v>177480</v>
      </c>
      <c r="E7">
        <v>182804</v>
      </c>
      <c r="F7">
        <v>180960</v>
      </c>
      <c r="G7">
        <v>186389</v>
      </c>
      <c r="H7">
        <v>179220</v>
      </c>
      <c r="I7">
        <v>184597</v>
      </c>
      <c r="J7">
        <v>184440</v>
      </c>
      <c r="K7">
        <v>189973</v>
      </c>
      <c r="L7">
        <v>187920</v>
      </c>
      <c r="M7">
        <v>193558</v>
      </c>
      <c r="N7">
        <v>191400</v>
      </c>
      <c r="O7">
        <v>197142</v>
      </c>
      <c r="P7">
        <v>194880</v>
      </c>
      <c r="Q7">
        <v>200726</v>
      </c>
      <c r="R7">
        <v>193140</v>
      </c>
      <c r="S7">
        <v>198934</v>
      </c>
      <c r="T7">
        <v>201840</v>
      </c>
      <c r="U7">
        <v>207895</v>
      </c>
      <c r="V7">
        <v>208800</v>
      </c>
      <c r="W7">
        <v>215064</v>
      </c>
      <c r="X7">
        <v>222720</v>
      </c>
      <c r="Y7">
        <v>229402</v>
      </c>
      <c r="Z7">
        <v>2296800</v>
      </c>
      <c r="AA7">
        <v>2365704</v>
      </c>
    </row>
    <row r="8" spans="1:27" x14ac:dyDescent="0.3">
      <c r="A8" t="s">
        <v>33</v>
      </c>
      <c r="B8">
        <v>580000</v>
      </c>
      <c r="C8">
        <v>609000</v>
      </c>
      <c r="D8">
        <v>591600</v>
      </c>
      <c r="E8">
        <v>621180</v>
      </c>
      <c r="F8">
        <v>603200</v>
      </c>
      <c r="G8">
        <v>633360</v>
      </c>
      <c r="H8">
        <v>597400</v>
      </c>
      <c r="I8">
        <v>627270</v>
      </c>
      <c r="J8">
        <v>614800</v>
      </c>
      <c r="K8">
        <v>645540</v>
      </c>
      <c r="L8">
        <v>626400</v>
      </c>
      <c r="M8">
        <v>657720</v>
      </c>
      <c r="N8">
        <v>638000</v>
      </c>
      <c r="O8">
        <v>669900</v>
      </c>
      <c r="P8">
        <v>649600</v>
      </c>
      <c r="Q8">
        <v>682080</v>
      </c>
      <c r="R8">
        <v>643800</v>
      </c>
      <c r="S8">
        <v>675990</v>
      </c>
      <c r="T8">
        <v>672800</v>
      </c>
      <c r="U8">
        <v>706440</v>
      </c>
      <c r="V8">
        <v>696000</v>
      </c>
      <c r="W8">
        <v>730800</v>
      </c>
      <c r="X8">
        <v>742400</v>
      </c>
      <c r="Y8">
        <v>779520</v>
      </c>
      <c r="Z8">
        <v>7656000</v>
      </c>
      <c r="AA8">
        <v>8038800</v>
      </c>
    </row>
    <row r="9" spans="1:27" x14ac:dyDescent="0.3">
      <c r="A9" t="s">
        <v>34</v>
      </c>
      <c r="B9">
        <v>362500</v>
      </c>
      <c r="C9">
        <v>373375</v>
      </c>
      <c r="D9">
        <v>369750</v>
      </c>
      <c r="E9">
        <v>380842</v>
      </c>
      <c r="F9">
        <v>377000</v>
      </c>
      <c r="G9">
        <v>388310</v>
      </c>
      <c r="H9">
        <v>373375</v>
      </c>
      <c r="I9">
        <v>384576</v>
      </c>
      <c r="J9">
        <v>384250</v>
      </c>
      <c r="K9">
        <v>395778</v>
      </c>
      <c r="L9">
        <v>391500</v>
      </c>
      <c r="M9">
        <v>403245</v>
      </c>
      <c r="N9">
        <v>398750</v>
      </c>
      <c r="O9">
        <v>410712</v>
      </c>
      <c r="P9">
        <v>406000</v>
      </c>
      <c r="Q9">
        <v>418180</v>
      </c>
      <c r="R9">
        <v>402375</v>
      </c>
      <c r="S9">
        <v>414446</v>
      </c>
      <c r="T9">
        <v>420500</v>
      </c>
      <c r="U9">
        <v>433115</v>
      </c>
      <c r="V9">
        <v>435000</v>
      </c>
      <c r="W9">
        <v>448050</v>
      </c>
      <c r="X9">
        <v>464000</v>
      </c>
      <c r="Y9">
        <v>477920</v>
      </c>
      <c r="Z9">
        <v>4785000</v>
      </c>
      <c r="AA9">
        <v>4928549</v>
      </c>
    </row>
    <row r="10" spans="1:27" x14ac:dyDescent="0.3">
      <c r="A10" t="s">
        <v>35</v>
      </c>
      <c r="B10">
        <v>2443500</v>
      </c>
      <c r="C10">
        <v>2291105</v>
      </c>
      <c r="D10">
        <v>2502370</v>
      </c>
      <c r="E10">
        <v>2463769</v>
      </c>
      <c r="F10">
        <v>2561240</v>
      </c>
      <c r="G10">
        <v>2164485</v>
      </c>
      <c r="H10">
        <v>2531805</v>
      </c>
      <c r="I10">
        <v>2551818</v>
      </c>
      <c r="J10">
        <v>2620110</v>
      </c>
      <c r="K10">
        <v>2337148</v>
      </c>
      <c r="L10">
        <v>2678980</v>
      </c>
      <c r="M10">
        <v>2514393</v>
      </c>
      <c r="N10">
        <v>2737850</v>
      </c>
      <c r="O10">
        <v>2696221</v>
      </c>
      <c r="P10">
        <v>2796720</v>
      </c>
      <c r="Q10">
        <v>2369446</v>
      </c>
      <c r="R10">
        <v>2767285</v>
      </c>
      <c r="S10">
        <v>2788853</v>
      </c>
      <c r="T10">
        <v>2914460</v>
      </c>
      <c r="U10">
        <v>2737682</v>
      </c>
      <c r="V10">
        <v>3032200</v>
      </c>
      <c r="W10">
        <v>3124246</v>
      </c>
      <c r="X10">
        <v>3267680</v>
      </c>
      <c r="Y10">
        <v>2779366</v>
      </c>
      <c r="Z10">
        <v>32854200</v>
      </c>
      <c r="AA10">
        <v>30818532</v>
      </c>
    </row>
    <row r="11" spans="1:27" x14ac:dyDescent="0.3">
      <c r="A11" t="s">
        <v>36</v>
      </c>
      <c r="B11">
        <v>250000</v>
      </c>
      <c r="C11">
        <v>250000</v>
      </c>
      <c r="D11">
        <v>250000</v>
      </c>
      <c r="E11">
        <v>250000</v>
      </c>
      <c r="F11">
        <v>250000</v>
      </c>
      <c r="G11">
        <v>250000</v>
      </c>
      <c r="H11">
        <v>250000</v>
      </c>
      <c r="I11">
        <v>250000</v>
      </c>
      <c r="J11">
        <v>250000</v>
      </c>
      <c r="K11">
        <v>250000</v>
      </c>
      <c r="L11">
        <v>250000</v>
      </c>
      <c r="M11">
        <v>250000</v>
      </c>
      <c r="N11">
        <v>250000</v>
      </c>
      <c r="O11">
        <v>250000</v>
      </c>
      <c r="P11">
        <v>250000</v>
      </c>
      <c r="Q11">
        <v>250000</v>
      </c>
      <c r="R11">
        <v>250000</v>
      </c>
      <c r="S11">
        <v>250000</v>
      </c>
      <c r="T11">
        <v>250000</v>
      </c>
      <c r="U11">
        <v>250000</v>
      </c>
      <c r="V11">
        <v>250000</v>
      </c>
      <c r="W11">
        <v>250000</v>
      </c>
      <c r="X11">
        <v>250000</v>
      </c>
      <c r="Y11">
        <v>250000</v>
      </c>
      <c r="Z11">
        <v>3000000</v>
      </c>
      <c r="AA11">
        <v>3000000</v>
      </c>
    </row>
    <row r="12" spans="1:27" x14ac:dyDescent="0.3">
      <c r="A12" t="s">
        <v>37</v>
      </c>
      <c r="B12">
        <v>100000</v>
      </c>
      <c r="C12">
        <v>100000</v>
      </c>
      <c r="D12">
        <v>100000</v>
      </c>
      <c r="E12">
        <v>100000</v>
      </c>
      <c r="F12">
        <v>100000</v>
      </c>
      <c r="G12">
        <v>100000</v>
      </c>
      <c r="H12">
        <v>100000</v>
      </c>
      <c r="I12">
        <v>100000</v>
      </c>
      <c r="J12">
        <v>100000</v>
      </c>
      <c r="K12">
        <v>100000</v>
      </c>
      <c r="L12">
        <v>100000</v>
      </c>
      <c r="M12">
        <v>100000</v>
      </c>
      <c r="N12">
        <v>100000</v>
      </c>
      <c r="O12">
        <v>100000</v>
      </c>
      <c r="P12">
        <v>100000</v>
      </c>
      <c r="Q12">
        <v>100000</v>
      </c>
      <c r="R12">
        <v>100000</v>
      </c>
      <c r="S12">
        <v>100000</v>
      </c>
      <c r="T12">
        <v>100000</v>
      </c>
      <c r="U12">
        <v>100000</v>
      </c>
      <c r="V12">
        <v>100000</v>
      </c>
      <c r="W12">
        <v>100000</v>
      </c>
      <c r="X12">
        <v>100000</v>
      </c>
      <c r="Y12">
        <v>100000</v>
      </c>
      <c r="Z12">
        <v>1200000</v>
      </c>
      <c r="AA12">
        <v>1200000</v>
      </c>
    </row>
    <row r="13" spans="1:27" x14ac:dyDescent="0.3">
      <c r="A13" t="s">
        <v>38</v>
      </c>
      <c r="B13">
        <v>2093500</v>
      </c>
      <c r="C13">
        <v>1941105</v>
      </c>
      <c r="D13">
        <v>2152370</v>
      </c>
      <c r="E13">
        <v>2113769</v>
      </c>
      <c r="F13">
        <v>2211240</v>
      </c>
      <c r="G13">
        <v>1814485</v>
      </c>
      <c r="H13">
        <v>2181805</v>
      </c>
      <c r="I13">
        <v>2201818</v>
      </c>
      <c r="J13">
        <v>2270110</v>
      </c>
      <c r="K13">
        <v>1987148</v>
      </c>
      <c r="L13">
        <v>2328980</v>
      </c>
      <c r="M13">
        <v>2164393</v>
      </c>
      <c r="N13">
        <v>2387850</v>
      </c>
      <c r="O13">
        <v>2346221</v>
      </c>
      <c r="P13">
        <v>2446720</v>
      </c>
      <c r="Q13">
        <v>2019446</v>
      </c>
      <c r="R13">
        <v>2417285</v>
      </c>
      <c r="S13">
        <v>2438853</v>
      </c>
      <c r="T13">
        <v>2564460</v>
      </c>
      <c r="U13">
        <v>2387682</v>
      </c>
      <c r="V13">
        <v>2682200</v>
      </c>
      <c r="W13">
        <v>2774246</v>
      </c>
      <c r="X13">
        <v>2917680</v>
      </c>
      <c r="Y13">
        <v>2429366</v>
      </c>
      <c r="Z13">
        <v>28654200</v>
      </c>
      <c r="AA13">
        <v>26618532</v>
      </c>
    </row>
    <row r="14" spans="1:27" x14ac:dyDescent="0.3">
      <c r="A14" t="s">
        <v>39</v>
      </c>
      <c r="B14">
        <v>523375</v>
      </c>
      <c r="C14">
        <v>485276</v>
      </c>
      <c r="D14">
        <v>538092</v>
      </c>
      <c r="E14">
        <v>528442</v>
      </c>
      <c r="F14">
        <v>552810</v>
      </c>
      <c r="G14">
        <v>453621</v>
      </c>
      <c r="H14">
        <v>545451</v>
      </c>
      <c r="I14">
        <v>550454</v>
      </c>
      <c r="J14">
        <v>567528</v>
      </c>
      <c r="K14">
        <v>496787</v>
      </c>
      <c r="L14">
        <v>582245</v>
      </c>
      <c r="M14">
        <v>541098</v>
      </c>
      <c r="N14">
        <v>596962</v>
      </c>
      <c r="O14">
        <v>586555</v>
      </c>
      <c r="P14">
        <v>611680</v>
      </c>
      <c r="Q14">
        <v>504862</v>
      </c>
      <c r="R14">
        <v>604321</v>
      </c>
      <c r="S14">
        <v>609713</v>
      </c>
      <c r="T14">
        <v>641115</v>
      </c>
      <c r="U14">
        <v>596920</v>
      </c>
      <c r="V14">
        <v>670550</v>
      </c>
      <c r="W14">
        <v>693562</v>
      </c>
      <c r="X14">
        <v>729420</v>
      </c>
      <c r="Y14">
        <v>607342</v>
      </c>
      <c r="Z14">
        <v>7163549</v>
      </c>
      <c r="AA14">
        <v>6654632</v>
      </c>
    </row>
    <row r="15" spans="1:27" x14ac:dyDescent="0.3">
      <c r="A15" t="s">
        <v>40</v>
      </c>
      <c r="B15">
        <v>1570125</v>
      </c>
      <c r="C15">
        <v>1455829</v>
      </c>
      <c r="D15">
        <v>1614278</v>
      </c>
      <c r="E15">
        <v>1585327</v>
      </c>
      <c r="F15">
        <v>1658430</v>
      </c>
      <c r="G15">
        <v>1360864</v>
      </c>
      <c r="H15">
        <v>1636354</v>
      </c>
      <c r="I15">
        <v>1651364</v>
      </c>
      <c r="J15">
        <v>1702582</v>
      </c>
      <c r="K15">
        <v>1490361</v>
      </c>
      <c r="L15">
        <v>1746735</v>
      </c>
      <c r="M15">
        <v>1623295</v>
      </c>
      <c r="N15">
        <v>1790888</v>
      </c>
      <c r="O15">
        <v>1759666</v>
      </c>
      <c r="P15">
        <v>1835040</v>
      </c>
      <c r="Q15">
        <v>1514584</v>
      </c>
      <c r="R15">
        <v>1812964</v>
      </c>
      <c r="S15">
        <v>1829140</v>
      </c>
      <c r="T15">
        <v>1923345</v>
      </c>
      <c r="U15">
        <v>1790762</v>
      </c>
      <c r="V15">
        <v>2011650</v>
      </c>
      <c r="W15">
        <v>2080684</v>
      </c>
      <c r="X15">
        <v>2188260</v>
      </c>
      <c r="Y15">
        <v>1822024</v>
      </c>
      <c r="Z15">
        <v>21490651</v>
      </c>
      <c r="AA15">
        <v>19963900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Variance Analysis</vt:lpstr>
      <vt:lpstr>Chennai</vt:lpstr>
      <vt:lpstr>Mumbai</vt:lpstr>
      <vt:lpstr>Pune</vt:lpstr>
      <vt:lpstr>Hyderabad</vt:lpstr>
      <vt:lpstr>Bangalore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Perepa</cp:lastModifiedBy>
  <dcterms:created xsi:type="dcterms:W3CDTF">2026-06-16T16:57:00Z</dcterms:created>
  <dcterms:modified xsi:type="dcterms:W3CDTF">2026-06-16T17:24:06Z</dcterms:modified>
</cp:coreProperties>
</file>